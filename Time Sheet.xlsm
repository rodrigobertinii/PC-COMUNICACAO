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69A4257C-71EB-4EB4-B090-A30EBEF44A95}" xr6:coauthVersionLast="47" xr6:coauthVersionMax="47" xr10:uidLastSave="{00000000-0000-0000-0000-000000000000}"/>
  <bookViews>
    <workbookView showSheetTabs="0" xWindow="-120" yWindow="-120" windowWidth="20730" windowHeight="11160" xr2:uid="{00000000-000D-0000-FFFF-FFFF00000000}"/>
  </bookViews>
  <sheets>
    <sheet name="Inicial" sheetId="5" r:id="rId1"/>
    <sheet name="Dados (Formulário)" sheetId="2" r:id="rId2"/>
    <sheet name="Resultados" sheetId="3" r:id="rId3"/>
    <sheet name="Métricas" sheetId="6" r:id="rId4"/>
  </sheets>
  <definedNames>
    <definedName name="_xlnm.Print_Area" localSheetId="3">Métricas!$A$1:$K$80</definedName>
  </definedNames>
  <calcPr calcId="191029"/>
  <pivotCaches>
    <pivotCache cacheId="0" r:id="rId5"/>
    <pivotCache cacheId="1" r:id="rId6"/>
    <pivotCache cacheId="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9" i="3" l="1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4" i="3"/>
  <c r="Q5" i="3"/>
  <c r="Q6" i="3"/>
  <c r="S2" i="3"/>
  <c r="R28" i="3" s="1"/>
  <c r="N2" i="3"/>
  <c r="P8" i="3"/>
  <c r="N8" i="3"/>
  <c r="N7" i="3"/>
  <c r="N6" i="3"/>
  <c r="N5" i="3"/>
  <c r="N4" i="3"/>
  <c r="N3" i="3"/>
  <c r="R38" i="3" l="1"/>
  <c r="R37" i="3"/>
  <c r="R36" i="3"/>
  <c r="R35" i="3"/>
  <c r="R34" i="3"/>
  <c r="R33" i="3"/>
  <c r="R32" i="3"/>
  <c r="R31" i="3"/>
  <c r="R30" i="3"/>
  <c r="R29" i="3"/>
  <c r="R3" i="3"/>
  <c r="R17" i="3"/>
  <c r="R18" i="3"/>
  <c r="R24" i="3"/>
  <c r="R25" i="3"/>
  <c r="R8" i="3"/>
  <c r="R26" i="3"/>
  <c r="R9" i="3"/>
  <c r="R27" i="3"/>
  <c r="R10" i="3"/>
  <c r="R957" i="3"/>
  <c r="R16" i="3"/>
  <c r="R23" i="3"/>
  <c r="R15" i="3"/>
  <c r="R7" i="3"/>
  <c r="R2" i="3"/>
  <c r="R22" i="3"/>
  <c r="R14" i="3"/>
  <c r="R6" i="3"/>
  <c r="R21" i="3"/>
  <c r="R13" i="3"/>
  <c r="R5" i="3"/>
  <c r="R20" i="3"/>
  <c r="R12" i="3"/>
  <c r="R4" i="3"/>
  <c r="R19" i="3"/>
  <c r="R11" i="3"/>
  <c r="Q3" i="3" l="1"/>
  <c r="U3" i="3" l="1"/>
  <c r="U4" i="3"/>
  <c r="U5" i="3"/>
  <c r="U6" i="3"/>
  <c r="U7" i="3"/>
  <c r="U8" i="3"/>
  <c r="U2" i="3"/>
  <c r="Q2" i="3"/>
  <c r="I5" i="3"/>
  <c r="J5" i="3"/>
  <c r="I6" i="3"/>
  <c r="J6" i="3"/>
  <c r="J2" i="3"/>
  <c r="I2" i="3"/>
  <c r="I7" i="3"/>
  <c r="J7" i="3"/>
  <c r="I3" i="3"/>
  <c r="J3" i="3"/>
  <c r="H7" i="3"/>
  <c r="I4" i="3"/>
  <c r="J4" i="3"/>
</calcChain>
</file>

<file path=xl/sharedStrings.xml><?xml version="1.0" encoding="utf-8"?>
<sst xmlns="http://schemas.openxmlformats.org/spreadsheetml/2006/main" count="233" uniqueCount="79">
  <si>
    <t>Nome</t>
  </si>
  <si>
    <t>data</t>
  </si>
  <si>
    <t>Cliente</t>
  </si>
  <si>
    <t>Tempo trabalhado (em min)</t>
  </si>
  <si>
    <t>Local</t>
  </si>
  <si>
    <t xml:space="preserve">Nome </t>
  </si>
  <si>
    <t>Data</t>
  </si>
  <si>
    <t xml:space="preserve">Local </t>
  </si>
  <si>
    <t xml:space="preserve">Agência </t>
  </si>
  <si>
    <t xml:space="preserve">Home </t>
  </si>
  <si>
    <t xml:space="preserve">Murilo </t>
  </si>
  <si>
    <t>Tempo trabalhado (em minutos)</t>
  </si>
  <si>
    <t>Data do preenchimento</t>
  </si>
  <si>
    <t>Rótulos de Linha</t>
  </si>
  <si>
    <t>Total Geral</t>
  </si>
  <si>
    <t>Soma de Tempo trabalhado (em min)</t>
  </si>
  <si>
    <t>(Tudo)</t>
  </si>
  <si>
    <t>(vazio)</t>
  </si>
  <si>
    <t xml:space="preserve">            PC COMUNICAÇÃO</t>
  </si>
  <si>
    <t>Gestores</t>
  </si>
  <si>
    <t>Colobaradores</t>
  </si>
  <si>
    <t xml:space="preserve">Aluguél </t>
  </si>
  <si>
    <t>Internet</t>
  </si>
  <si>
    <t xml:space="preserve">Provedor </t>
  </si>
  <si>
    <t xml:space="preserve">Contabilidade </t>
  </si>
  <si>
    <t xml:space="preserve">Consultoria </t>
  </si>
  <si>
    <t xml:space="preserve">Limpeza </t>
  </si>
  <si>
    <t xml:space="preserve">Soma </t>
  </si>
  <si>
    <t>SOMA</t>
  </si>
  <si>
    <t>Receita/mês - Cliente</t>
  </si>
  <si>
    <t>Nome - Cliente</t>
  </si>
  <si>
    <t>% da fatutamento - Cliente</t>
  </si>
  <si>
    <t>Custo operacional fixo - Cliente</t>
  </si>
  <si>
    <t>Nome - Colaborador</t>
  </si>
  <si>
    <t>Salário - Colaborador</t>
  </si>
  <si>
    <t>Horas - Colaborador</t>
  </si>
  <si>
    <t>Custo/hora - Colaborador</t>
  </si>
  <si>
    <t>Descrição - Empresa</t>
  </si>
  <si>
    <t>Custos Variados - Empresa</t>
  </si>
  <si>
    <t>Custo Operacional</t>
  </si>
  <si>
    <t>Soma de Custo Operacional</t>
  </si>
  <si>
    <t>Tempo Gasto  porcentagem</t>
  </si>
  <si>
    <t>tempo Total gasto (min)</t>
  </si>
  <si>
    <t>Soma de Tempo Gasto  porcentagem</t>
  </si>
  <si>
    <t>Total Gasto / colaborador</t>
  </si>
  <si>
    <t>CLIENTE A</t>
  </si>
  <si>
    <t>CLIENTE B</t>
  </si>
  <si>
    <t>CLIENTE C</t>
  </si>
  <si>
    <t>CLIENTE D</t>
  </si>
  <si>
    <t>CLIENTE E</t>
  </si>
  <si>
    <t>CLIENTE F</t>
  </si>
  <si>
    <t>CLIENTE G</t>
  </si>
  <si>
    <t>CLIENTE H</t>
  </si>
  <si>
    <t>CLIENTE I</t>
  </si>
  <si>
    <t>CLIENTE J</t>
  </si>
  <si>
    <t>CLIENTE K</t>
  </si>
  <si>
    <t>CLIENTE L</t>
  </si>
  <si>
    <t>CLIENTE M</t>
  </si>
  <si>
    <t>CLIENTE N</t>
  </si>
  <si>
    <t>CLIENTE O</t>
  </si>
  <si>
    <t>CLIENTE P</t>
  </si>
  <si>
    <t>CLIENTE Q</t>
  </si>
  <si>
    <t>CLIENTE R</t>
  </si>
  <si>
    <t>CLIENTE S</t>
  </si>
  <si>
    <t>CLIENTE T</t>
  </si>
  <si>
    <t>CLIENTE U</t>
  </si>
  <si>
    <t>Alex</t>
  </si>
  <si>
    <t>Roberto</t>
  </si>
  <si>
    <t>Rodrigo</t>
  </si>
  <si>
    <t>Victoria</t>
  </si>
  <si>
    <t>Luisa</t>
  </si>
  <si>
    <t>Arthur</t>
  </si>
  <si>
    <t>Rafael</t>
  </si>
  <si>
    <t>Rebeca</t>
  </si>
  <si>
    <t>Presencial</t>
  </si>
  <si>
    <t>Home</t>
  </si>
  <si>
    <t>Agência</t>
  </si>
  <si>
    <t>home</t>
  </si>
  <si>
    <t>Murilo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</si>
</sst>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d&quot; de &quot;mmm&quot; de &quot;yyyy"/>
    <numFmt numFmtId="165" formatCode="_-[$R$-416]\ * #,##0.00_-;\-[$R$-416]\ * #,##0.00_-;_-[$R$-416]\ * &quot;-&quot;??_-;_-@_-"/>
  </numFmts>
  <fonts count="9" x14ac:knownFonts="1"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30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D8D8D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/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72">
    <xf numFmtId="0" fontId="0" fillId="0" borderId="0" xfId="0"/>
    <xf numFmtId="14" fontId="0" fillId="0" borderId="0" xfId="0" applyNumberFormat="1"/>
    <xf numFmtId="1" fontId="0" fillId="0" borderId="0" xfId="0" applyNumberFormat="1"/>
    <xf numFmtId="0" fontId="0" fillId="4" borderId="0" xfId="0" applyFill="1"/>
    <xf numFmtId="14" fontId="0" fillId="4" borderId="0" xfId="0" applyNumberFormat="1" applyFill="1"/>
    <xf numFmtId="0" fontId="2" fillId="4" borderId="0" xfId="0" applyFont="1" applyFill="1"/>
    <xf numFmtId="14" fontId="2" fillId="4" borderId="0" xfId="0" applyNumberFormat="1" applyFont="1" applyFill="1"/>
    <xf numFmtId="1" fontId="2" fillId="4" borderId="0" xfId="0" applyNumberFormat="1" applyFont="1" applyFill="1"/>
    <xf numFmtId="0" fontId="2" fillId="0" borderId="0" xfId="0" applyFont="1"/>
    <xf numFmtId="14" fontId="2" fillId="0" borderId="0" xfId="0" applyNumberFormat="1" applyFont="1"/>
    <xf numFmtId="1" fontId="2" fillId="0" borderId="0" xfId="0" applyNumberFormat="1" applyFont="1"/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2" fillId="2" borderId="0" xfId="0" applyFont="1" applyFill="1"/>
    <xf numFmtId="14" fontId="2" fillId="2" borderId="0" xfId="0" applyNumberFormat="1" applyFont="1" applyFill="1"/>
    <xf numFmtId="1" fontId="2" fillId="2" borderId="0" xfId="0" applyNumberFormat="1" applyFont="1" applyFill="1"/>
    <xf numFmtId="0" fontId="0" fillId="8" borderId="0" xfId="0" applyFill="1"/>
    <xf numFmtId="0" fontId="0" fillId="3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3" borderId="0" xfId="0" applyFont="1" applyFill="1"/>
    <xf numFmtId="1" fontId="2" fillId="12" borderId="0" xfId="0" applyNumberFormat="1" applyFont="1" applyFill="1"/>
    <xf numFmtId="9" fontId="0" fillId="0" borderId="0" xfId="2" applyFont="1" applyBorder="1"/>
    <xf numFmtId="44" fontId="2" fillId="0" borderId="0" xfId="1" applyFont="1" applyBorder="1"/>
    <xf numFmtId="9" fontId="2" fillId="0" borderId="0" xfId="2" applyFont="1" applyBorder="1"/>
    <xf numFmtId="164" fontId="6" fillId="13" borderId="0" xfId="0" applyNumberFormat="1" applyFont="1" applyFill="1" applyAlignment="1">
      <alignment horizontal="left"/>
    </xf>
    <xf numFmtId="164" fontId="6" fillId="14" borderId="0" xfId="0" applyNumberFormat="1" applyFont="1" applyFill="1" applyAlignment="1">
      <alignment horizontal="left"/>
    </xf>
    <xf numFmtId="0" fontId="1" fillId="18" borderId="4" xfId="0" applyFont="1" applyFill="1" applyBorder="1" applyAlignment="1">
      <alignment horizontal="center" vertical="center" wrapText="1"/>
    </xf>
    <xf numFmtId="0" fontId="2" fillId="15" borderId="0" xfId="0" applyFont="1" applyFill="1"/>
    <xf numFmtId="9" fontId="2" fillId="15" borderId="0" xfId="2" applyFont="1" applyFill="1" applyBorder="1"/>
    <xf numFmtId="0" fontId="2" fillId="7" borderId="0" xfId="0" applyFont="1" applyFill="1"/>
    <xf numFmtId="44" fontId="2" fillId="7" borderId="0" xfId="1" applyFont="1" applyFill="1" applyBorder="1"/>
    <xf numFmtId="9" fontId="2" fillId="7" borderId="0" xfId="2" applyFont="1" applyFill="1" applyBorder="1"/>
    <xf numFmtId="0" fontId="1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 wrapText="1"/>
    </xf>
    <xf numFmtId="0" fontId="8" fillId="7" borderId="0" xfId="0" applyFont="1" applyFill="1"/>
    <xf numFmtId="0" fontId="8" fillId="0" borderId="0" xfId="0" applyFont="1"/>
    <xf numFmtId="165" fontId="8" fillId="7" borderId="0" xfId="0" applyNumberFormat="1" applyFont="1" applyFill="1"/>
    <xf numFmtId="165" fontId="8" fillId="0" borderId="0" xfId="0" applyNumberFormat="1" applyFont="1"/>
    <xf numFmtId="0" fontId="0" fillId="16" borderId="0" xfId="0" applyFill="1"/>
    <xf numFmtId="0" fontId="0" fillId="16" borderId="0" xfId="0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horizontal="left"/>
    </xf>
    <xf numFmtId="165" fontId="0" fillId="2" borderId="0" xfId="0" applyNumberFormat="1" applyFill="1"/>
    <xf numFmtId="0" fontId="0" fillId="19" borderId="0" xfId="0" applyFill="1"/>
    <xf numFmtId="0" fontId="0" fillId="19" borderId="0" xfId="0" applyFill="1" applyAlignment="1">
      <alignment horizontal="left"/>
    </xf>
    <xf numFmtId="165" fontId="2" fillId="7" borderId="0" xfId="0" applyNumberFormat="1" applyFont="1" applyFill="1"/>
    <xf numFmtId="165" fontId="2" fillId="0" borderId="0" xfId="0" applyNumberFormat="1" applyFont="1"/>
    <xf numFmtId="0" fontId="2" fillId="7" borderId="2" xfId="0" applyFont="1" applyFill="1" applyBorder="1"/>
    <xf numFmtId="0" fontId="2" fillId="4" borderId="2" xfId="0" applyFont="1" applyFill="1" applyBorder="1"/>
    <xf numFmtId="14" fontId="2" fillId="4" borderId="2" xfId="0" applyNumberFormat="1" applyFont="1" applyFill="1" applyBorder="1"/>
    <xf numFmtId="1" fontId="2" fillId="4" borderId="2" xfId="0" applyNumberFormat="1" applyFont="1" applyFill="1" applyBorder="1"/>
    <xf numFmtId="0" fontId="1" fillId="18" borderId="3" xfId="0" applyFont="1" applyFill="1" applyBorder="1" applyAlignment="1">
      <alignment horizontal="center" vertical="center" wrapText="1"/>
    </xf>
    <xf numFmtId="0" fontId="4" fillId="18" borderId="0" xfId="0" applyFont="1" applyFill="1"/>
    <xf numFmtId="0" fontId="7" fillId="18" borderId="0" xfId="0" applyFont="1" applyFill="1"/>
    <xf numFmtId="9" fontId="4" fillId="18" borderId="0" xfId="0" applyNumberFormat="1" applyFont="1" applyFill="1"/>
    <xf numFmtId="44" fontId="4" fillId="18" borderId="0" xfId="1" applyFont="1" applyFill="1" applyBorder="1"/>
    <xf numFmtId="0" fontId="1" fillId="18" borderId="5" xfId="0" applyFont="1" applyFill="1" applyBorder="1" applyAlignment="1">
      <alignment horizontal="center" vertical="center" wrapText="1"/>
    </xf>
    <xf numFmtId="9" fontId="0" fillId="16" borderId="0" xfId="0" applyNumberFormat="1" applyFill="1"/>
    <xf numFmtId="0" fontId="1" fillId="17" borderId="0" xfId="0" applyFont="1" applyFill="1" applyAlignment="1">
      <alignment horizontal="center" vertical="center" wrapText="1"/>
    </xf>
    <xf numFmtId="0" fontId="1" fillId="17" borderId="5" xfId="0" applyFont="1" applyFill="1" applyBorder="1" applyAlignment="1">
      <alignment horizontal="center" vertical="center" wrapText="1"/>
    </xf>
    <xf numFmtId="165" fontId="2" fillId="15" borderId="2" xfId="0" applyNumberFormat="1" applyFont="1" applyFill="1" applyBorder="1"/>
    <xf numFmtId="9" fontId="2" fillId="15" borderId="2" xfId="2" applyFont="1" applyFill="1" applyBorder="1"/>
    <xf numFmtId="1" fontId="0" fillId="15" borderId="2" xfId="0" applyNumberFormat="1" applyFill="1" applyBorder="1"/>
    <xf numFmtId="0" fontId="2" fillId="15" borderId="2" xfId="0" applyFont="1" applyFill="1" applyBorder="1"/>
    <xf numFmtId="165" fontId="2" fillId="15" borderId="0" xfId="0" applyNumberFormat="1" applyFont="1" applyFill="1"/>
    <xf numFmtId="164" fontId="6" fillId="0" borderId="0" xfId="0" applyNumberFormat="1" applyFont="1" applyAlignment="1">
      <alignment horizontal="left"/>
    </xf>
    <xf numFmtId="165" fontId="8" fillId="7" borderId="2" xfId="0" applyNumberFormat="1" applyFont="1" applyFill="1" applyBorder="1"/>
    <xf numFmtId="9" fontId="2" fillId="0" borderId="0" xfId="2" applyFont="1" applyFill="1" applyBorder="1"/>
    <xf numFmtId="44" fontId="2" fillId="0" borderId="0" xfId="1" applyFont="1" applyFill="1" applyBorder="1"/>
    <xf numFmtId="0" fontId="3" fillId="3" borderId="0" xfId="0" applyFont="1" applyFill="1" applyAlignment="1">
      <alignment horizontal="left" vertical="center"/>
    </xf>
  </cellXfs>
  <cellStyles count="3">
    <cellStyle name="Moeda" xfId="1" builtinId="4"/>
    <cellStyle name="Normal" xfId="0" builtinId="0"/>
    <cellStyle name="Porcentagem" xfId="2" builtinId="5"/>
  </cellStyles>
  <dxfs count="33"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numFmt numFmtId="165" formatCode="_-[$R$-416]\ * #,##0.00_-;\-[$R$-416]\ * #,##0.00_-;_-[$R$-416]\ * &quot;-&quot;??_-;_-@_-"/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[Time Sheet.xlsm]Métricas!Tabela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Cliente x tempo de equipe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Métricas!$B$4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Métricas!$A$5:$A$13</c:f>
              <c:strCache>
                <c:ptCount val="8"/>
                <c:pt idx="0">
                  <c:v>(vazio)</c:v>
                </c:pt>
                <c:pt idx="1">
                  <c:v>Rodrigo</c:v>
                </c:pt>
                <c:pt idx="2">
                  <c:v>Alex</c:v>
                </c:pt>
                <c:pt idx="3">
                  <c:v>Arthur</c:v>
                </c:pt>
                <c:pt idx="4">
                  <c:v>Luisa</c:v>
                </c:pt>
                <c:pt idx="5">
                  <c:v>Roberto</c:v>
                </c:pt>
                <c:pt idx="6">
                  <c:v>Victoria</c:v>
                </c:pt>
                <c:pt idx="7">
                  <c:v>Murilo</c:v>
                </c:pt>
              </c:strCache>
            </c:strRef>
          </c:cat>
          <c:val>
            <c:numRef>
              <c:f>Métricas!$B$5:$B$13</c:f>
              <c:numCache>
                <c:formatCode>General</c:formatCode>
                <c:ptCount val="8"/>
                <c:pt idx="1">
                  <c:v>310</c:v>
                </c:pt>
                <c:pt idx="2">
                  <c:v>210</c:v>
                </c:pt>
                <c:pt idx="3">
                  <c:v>410</c:v>
                </c:pt>
                <c:pt idx="4">
                  <c:v>890</c:v>
                </c:pt>
                <c:pt idx="5">
                  <c:v>550</c:v>
                </c:pt>
                <c:pt idx="6">
                  <c:v>450</c:v>
                </c:pt>
                <c:pt idx="7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85-4F6D-9064-89A24982B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4897704"/>
        <c:axId val="270128136"/>
      </c:barChart>
      <c:catAx>
        <c:axId val="184897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128136"/>
        <c:crosses val="autoZero"/>
        <c:auto val="1"/>
        <c:lblAlgn val="ctr"/>
        <c:lblOffset val="100"/>
        <c:noMultiLvlLbl val="0"/>
      </c:catAx>
      <c:valAx>
        <c:axId val="27012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89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[Time Sheet.xlsm]Métricas!Tabela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Cliente x Custo Operacional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Métricas!$B$22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Métricas!$A$23:$A$28</c:f>
              <c:strCache>
                <c:ptCount val="5"/>
                <c:pt idx="0">
                  <c:v>CLIENTE C</c:v>
                </c:pt>
                <c:pt idx="1">
                  <c:v>CLIENTE A</c:v>
                </c:pt>
                <c:pt idx="2">
                  <c:v>CLIENTE D</c:v>
                </c:pt>
                <c:pt idx="3">
                  <c:v>CLIENTE E</c:v>
                </c:pt>
                <c:pt idx="4">
                  <c:v>CLIENTE B</c:v>
                </c:pt>
              </c:strCache>
            </c:strRef>
          </c:cat>
          <c:val>
            <c:numRef>
              <c:f>Métricas!$B$23:$B$28</c:f>
              <c:numCache>
                <c:formatCode>_-[$R$-416]\ * #,##0.00_-;\-[$R$-416]\ * #,##0.00_-;_-[$R$-416]\ * "-"??_-;_-@_-</c:formatCode>
                <c:ptCount val="5"/>
                <c:pt idx="0">
                  <c:v>174.16666666666669</c:v>
                </c:pt>
                <c:pt idx="1">
                  <c:v>179.09090909090907</c:v>
                </c:pt>
                <c:pt idx="2">
                  <c:v>156.96969696969697</c:v>
                </c:pt>
                <c:pt idx="3">
                  <c:v>96.287878787878782</c:v>
                </c:pt>
                <c:pt idx="4">
                  <c:v>189.77272727272725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63-4DFE-8A03-E6D47F3FB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270129312"/>
        <c:axId val="270129704"/>
      </c:barChart>
      <c:catAx>
        <c:axId val="2701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129704"/>
        <c:crosses val="autoZero"/>
        <c:auto val="1"/>
        <c:lblAlgn val="ctr"/>
        <c:lblOffset val="100"/>
        <c:noMultiLvlLbl val="0"/>
      </c:catAx>
      <c:valAx>
        <c:axId val="270129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1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[Time Sheet.xlsm]Métricas!Tabela dinâmica1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Colaborador x Tempo em cada cliente</a:t>
            </a:r>
            <a:endParaRPr lang="pt-BR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layout>
            <c:manualLayout>
              <c:x val="4.4310310793323503E-2"/>
              <c:y val="0.10012531251469305"/>
            </c:manualLayout>
          </c:layout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4.4066921802372476E-2"/>
          <c:y val="0.35508582713441939"/>
          <c:w val="0.58456634261499441"/>
          <c:h val="0.64491417286558061"/>
        </c:manualLayout>
      </c:layout>
      <c:pieChart>
        <c:varyColors val="1"/>
        <c:ser>
          <c:idx val="0"/>
          <c:order val="0"/>
          <c:tx>
            <c:strRef>
              <c:f>Métricas!$B$4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9F8-4B55-925F-9C54EBD0907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9F8-4B55-925F-9C54EBD0907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9F8-4B55-925F-9C54EBD0907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9F8-4B55-925F-9C54EBD0907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9F8-4B55-925F-9C54EBD0907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9F8-4B55-925F-9C54EBD0907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9F8-4B55-925F-9C54EBD0907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9F8-4B55-925F-9C54EBD090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Métricas!$A$5:$A$13</c:f>
              <c:strCache>
                <c:ptCount val="8"/>
                <c:pt idx="0">
                  <c:v>(vazio)</c:v>
                </c:pt>
                <c:pt idx="1">
                  <c:v>Rodrigo</c:v>
                </c:pt>
                <c:pt idx="2">
                  <c:v>Alex</c:v>
                </c:pt>
                <c:pt idx="3">
                  <c:v>Arthur</c:v>
                </c:pt>
                <c:pt idx="4">
                  <c:v>Luisa</c:v>
                </c:pt>
                <c:pt idx="5">
                  <c:v>Roberto</c:v>
                </c:pt>
                <c:pt idx="6">
                  <c:v>Victoria</c:v>
                </c:pt>
                <c:pt idx="7">
                  <c:v>Murilo</c:v>
                </c:pt>
              </c:strCache>
            </c:strRef>
          </c:cat>
          <c:val>
            <c:numRef>
              <c:f>Métricas!$B$5:$B$13</c:f>
              <c:numCache>
                <c:formatCode>General</c:formatCode>
                <c:ptCount val="8"/>
                <c:pt idx="1">
                  <c:v>310</c:v>
                </c:pt>
                <c:pt idx="2">
                  <c:v>210</c:v>
                </c:pt>
                <c:pt idx="3">
                  <c:v>410</c:v>
                </c:pt>
                <c:pt idx="4">
                  <c:v>890</c:v>
                </c:pt>
                <c:pt idx="5">
                  <c:v>550</c:v>
                </c:pt>
                <c:pt idx="6">
                  <c:v>450</c:v>
                </c:pt>
                <c:pt idx="7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9F8-4B55-925F-9C54EBD0907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331428571428589"/>
          <c:y val="0.45440355719985404"/>
          <c:w val="0.22811428571428571"/>
          <c:h val="0.46007169550093496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42859</xdr:colOff>
      <xdr:row>2</xdr:row>
      <xdr:rowOff>4763</xdr:rowOff>
    </xdr:from>
    <xdr:to>
      <xdr:col>5</xdr:col>
      <xdr:colOff>666749</xdr:colOff>
      <xdr:row>7</xdr:row>
      <xdr:rowOff>14288</xdr:rowOff>
    </xdr:to>
    <xdr:sp macro="[0]!formulario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09734" y="917576"/>
          <a:ext cx="1306515" cy="930275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FORMULÁRIO</a:t>
          </a:r>
        </a:p>
      </xdr:txBody>
    </xdr:sp>
    <xdr:clientData/>
  </xdr:twoCellAnchor>
  <xdr:twoCellAnchor>
    <xdr:from>
      <xdr:col>6</xdr:col>
      <xdr:colOff>476250</xdr:colOff>
      <xdr:row>8</xdr:row>
      <xdr:rowOff>9528</xdr:rowOff>
    </xdr:from>
    <xdr:to>
      <xdr:col>8</xdr:col>
      <xdr:colOff>404813</xdr:colOff>
      <xdr:row>13</xdr:row>
      <xdr:rowOff>19053</xdr:rowOff>
    </xdr:to>
    <xdr:sp macro="[0]!BancoDeDados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508375" y="2025653"/>
          <a:ext cx="1293813" cy="930275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DADOS (FORMULÁRIO)</a:t>
          </a:r>
        </a:p>
      </xdr:txBody>
    </xdr:sp>
    <xdr:clientData/>
  </xdr:twoCellAnchor>
  <xdr:twoCellAnchor>
    <xdr:from>
      <xdr:col>6</xdr:col>
      <xdr:colOff>436563</xdr:colOff>
      <xdr:row>1</xdr:row>
      <xdr:rowOff>168275</xdr:rowOff>
    </xdr:from>
    <xdr:to>
      <xdr:col>8</xdr:col>
      <xdr:colOff>401638</xdr:colOff>
      <xdr:row>6</xdr:row>
      <xdr:rowOff>177799</xdr:rowOff>
    </xdr:to>
    <xdr:sp macro="[0]!AnaliseDosResultados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68688" y="898525"/>
          <a:ext cx="1330325" cy="930274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ANALISE DOS RESULTADOS</a:t>
          </a:r>
        </a:p>
      </xdr:txBody>
    </xdr:sp>
    <xdr:clientData/>
  </xdr:twoCellAnchor>
  <xdr:twoCellAnchor>
    <xdr:from>
      <xdr:col>4</xdr:col>
      <xdr:colOff>26988</xdr:colOff>
      <xdr:row>8</xdr:row>
      <xdr:rowOff>9525</xdr:rowOff>
    </xdr:from>
    <xdr:to>
      <xdr:col>5</xdr:col>
      <xdr:colOff>650875</xdr:colOff>
      <xdr:row>13</xdr:row>
      <xdr:rowOff>19050</xdr:rowOff>
    </xdr:to>
    <xdr:sp macro="[0]!metrica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693863" y="2025650"/>
          <a:ext cx="1306512" cy="930275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MÉTRICAS</a:t>
          </a:r>
        </a:p>
      </xdr:txBody>
    </xdr:sp>
    <xdr:clientData/>
  </xdr:twoCellAnchor>
  <xdr:twoCellAnchor editAs="oneCell">
    <xdr:from>
      <xdr:col>1</xdr:col>
      <xdr:colOff>53974</xdr:colOff>
      <xdr:row>0</xdr:row>
      <xdr:rowOff>188617</xdr:rowOff>
    </xdr:from>
    <xdr:to>
      <xdr:col>2</xdr:col>
      <xdr:colOff>681037</xdr:colOff>
      <xdr:row>2</xdr:row>
      <xdr:rowOff>85291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099" y="188617"/>
          <a:ext cx="817563" cy="809487"/>
        </a:xfrm>
        <a:prstGeom prst="rect">
          <a:avLst/>
        </a:prstGeom>
      </xdr:spPr>
    </xdr:pic>
    <xdr:clientData/>
  </xdr:twoCellAnchor>
  <xdr:twoCellAnchor>
    <xdr:from>
      <xdr:col>8</xdr:col>
      <xdr:colOff>222251</xdr:colOff>
      <xdr:row>0</xdr:row>
      <xdr:rowOff>301624</xdr:rowOff>
    </xdr:from>
    <xdr:to>
      <xdr:col>8</xdr:col>
      <xdr:colOff>341313</xdr:colOff>
      <xdr:row>0</xdr:row>
      <xdr:rowOff>444499</xdr:rowOff>
    </xdr:to>
    <xdr:sp macro="[0]!VisualizarAbasPlanilha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19626" y="301624"/>
          <a:ext cx="119062" cy="1428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1</xdr:row>
      <xdr:rowOff>85726</xdr:rowOff>
    </xdr:from>
    <xdr:to>
      <xdr:col>3</xdr:col>
      <xdr:colOff>1085850</xdr:colOff>
      <xdr:row>3</xdr:row>
      <xdr:rowOff>123826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048125" y="495301"/>
          <a:ext cx="733425" cy="419100"/>
        </a:xfrm>
        <a:prstGeom prst="round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1</xdr:row>
      <xdr:rowOff>123825</xdr:rowOff>
    </xdr:from>
    <xdr:to>
      <xdr:col>3</xdr:col>
      <xdr:colOff>952500</xdr:colOff>
      <xdr:row>3</xdr:row>
      <xdr:rowOff>161925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200400" y="571500"/>
          <a:ext cx="733425" cy="419100"/>
        </a:xfrm>
        <a:prstGeom prst="round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171448</xdr:colOff>
      <xdr:row>0</xdr:row>
      <xdr:rowOff>38100</xdr:rowOff>
    </xdr:from>
    <xdr:to>
      <xdr:col>10</xdr:col>
      <xdr:colOff>419099</xdr:colOff>
      <xdr:row>15</xdr:row>
      <xdr:rowOff>152401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285750</xdr:colOff>
      <xdr:row>0</xdr:row>
      <xdr:rowOff>123825</xdr:rowOff>
    </xdr:from>
    <xdr:to>
      <xdr:col>10</xdr:col>
      <xdr:colOff>333375</xdr:colOff>
      <xdr:row>3</xdr:row>
      <xdr:rowOff>0</xdr:rowOff>
    </xdr:to>
    <xdr:sp macro="[0]!Voltar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029700" y="123825"/>
          <a:ext cx="733425" cy="419100"/>
        </a:xfrm>
        <a:prstGeom prst="round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2</xdr:col>
      <xdr:colOff>209550</xdr:colOff>
      <xdr:row>18</xdr:row>
      <xdr:rowOff>85724</xdr:rowOff>
    </xdr:from>
    <xdr:to>
      <xdr:col>10</xdr:col>
      <xdr:colOff>457200</xdr:colOff>
      <xdr:row>35</xdr:row>
      <xdr:rowOff>95250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588066</xdr:colOff>
      <xdr:row>58</xdr:row>
      <xdr:rowOff>88415</xdr:rowOff>
    </xdr:from>
    <xdr:to>
      <xdr:col>10</xdr:col>
      <xdr:colOff>465898</xdr:colOff>
      <xdr:row>77</xdr:row>
      <xdr:rowOff>140805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520.791769097224" createdVersion="5" refreshedVersion="8" minRefreshableVersion="3" recordCount="1443" xr:uid="{00000000-000A-0000-FFFF-FFFF00000000}">
  <cacheSource type="worksheet">
    <worksheetSource ref="A1:U1048576" sheet="Resultados"/>
  </cacheSource>
  <cacheFields count="21">
    <cacheField name="Nome" numFmtId="0">
      <sharedItems containsBlank="1" count="17">
        <s v="Rodrigo"/>
        <s v="Alex"/>
        <s v="Arthur"/>
        <s v="Luisa"/>
        <s v="Roberto"/>
        <s v="Victoria"/>
        <s v="Murilo"/>
        <m/>
        <s v="Amanda" u="1"/>
        <s v="Emanoeli" u="1"/>
        <s v="FAGNER SILVA" u="1"/>
        <s v="Inaía" u="1"/>
        <s v="Murilo " u="1"/>
        <s v="Fagener" u="1"/>
        <s v="Layane " u="1"/>
        <s v="luísa " u="1"/>
        <s v="Verônica" u="1"/>
      </sharedItems>
    </cacheField>
    <cacheField name="data" numFmtId="0">
      <sharedItems containsNonDate="0" containsDate="1" containsString="0" containsBlank="1" minDate="2024-01-15T00:00:00" maxDate="2024-09-10T00:00:00"/>
    </cacheField>
    <cacheField name="Cliente" numFmtId="0">
      <sharedItems containsBlank="1" count="38">
        <s v="CLIENTE C"/>
        <s v="CLIENTE A"/>
        <s v="CLIENTE D"/>
        <s v="CLIENTE E"/>
        <s v="CLIENTE B"/>
        <m/>
        <s v="AUTHE" u="1"/>
        <s v="ESMERALDA" u="1"/>
        <s v="D'AUTORE" u="1"/>
        <s v="GREENJOY" u="1"/>
        <s v="ISLA" u="1"/>
        <s v="YÓTTUN" u="1"/>
        <s v="NOUA" u="1"/>
        <s v="MARIA ANTONIETA" u="1"/>
        <s v="BOLDRINI" u="1"/>
        <s v="RÃ CHU" u="1"/>
        <s v="AURORA" u="1"/>
        <s v="PC COMUNICAÇÃO" u="1"/>
        <s v="CIRANDA ESCOLA" u="1"/>
        <s v="LA BAMBINA" u="1"/>
        <s v="PAPAI SALIM" u="1"/>
        <s v="Dra. Suzi" u="1"/>
        <s v="FTA" u="1"/>
        <s v="OBA HORTIFRUTI" u="1"/>
        <s v="OBA HORTIFRUTI (JURIDICO)" u="1"/>
        <s v="QUINTA DOS VERDES" u="1"/>
        <s v="REDE MONTEIRO" u="1"/>
        <s v="YOTTUM" u="1"/>
        <s v="B4 - JOB" u="1"/>
        <s v="INSTITUTO 5INCO" u="1"/>
        <s v="YOTTUN" u="1"/>
        <s v="BRASIL REVERSO" u="1"/>
        <s v="BENINA" u="1"/>
        <s v="EDUARDO LINTZ" u="1"/>
        <s v="BEACH FAVELA" u="1"/>
        <s v="ZEE" u="1"/>
        <s v="Outros" u="1"/>
        <s v="CIOT" u="1"/>
      </sharedItems>
    </cacheField>
    <cacheField name="Tempo trabalhado (em min)" numFmtId="1">
      <sharedItems containsString="0" containsBlank="1" containsNumber="1" containsInteger="1" minValue="10" maxValue="290"/>
    </cacheField>
    <cacheField name="Local" numFmtId="0">
      <sharedItems containsBlank="1"/>
    </cacheField>
    <cacheField name="Data do preenchimento" numFmtId="0">
      <sharedItems containsNonDate="0" containsDate="1" containsString="0" containsBlank="1" minDate="2024-06-18T00:00:00" maxDate="2024-09-10T00:00:00"/>
    </cacheField>
    <cacheField name="Nome - Cliente" numFmtId="0">
      <sharedItems containsBlank="1"/>
    </cacheField>
    <cacheField name="Receita/mês - Cliente" numFmtId="0">
      <sharedItems containsString="0" containsBlank="1" containsNumber="1" containsInteger="1" minValue="2" maxValue="20"/>
    </cacheField>
    <cacheField name="% da fatutamento - Cliente" numFmtId="0">
      <sharedItems containsString="0" containsBlank="1" containsNumber="1" minValue="0.1" maxValue="1"/>
    </cacheField>
    <cacheField name="Custo operacional fixo - Cliente" numFmtId="0">
      <sharedItems containsString="0" containsBlank="1" containsNumber="1" minValue="690.6" maxValue="6906"/>
    </cacheField>
    <cacheField name="Nome - Colaborador" numFmtId="0">
      <sharedItems containsBlank="1"/>
    </cacheField>
    <cacheField name="Salário - Colaborador" numFmtId="0">
      <sharedItems containsString="0" containsBlank="1" containsNumber="1" containsInteger="1" minValue="2100" maxValue="5800"/>
    </cacheField>
    <cacheField name="Horas - Colaborador" numFmtId="0">
      <sharedItems containsString="0" containsBlank="1" containsNumber="1" containsInteger="1" minValue="220" maxValue="220"/>
    </cacheField>
    <cacheField name="Custo/hora - Colaborador" numFmtId="0">
      <sharedItems containsString="0" containsBlank="1" containsNumber="1" minValue="9.545454545454545" maxValue="26.363636363636363"/>
    </cacheField>
    <cacheField name="Descrição - Empresa" numFmtId="0">
      <sharedItems containsBlank="1"/>
    </cacheField>
    <cacheField name="Custos Variados - Empresa" numFmtId="0">
      <sharedItems containsString="0" containsBlank="1" containsNumber="1" containsInteger="1" minValue="138" maxValue="6906"/>
    </cacheField>
    <cacheField name="Custo Operacional" numFmtId="0">
      <sharedItems containsBlank="1" containsMixedTypes="1" containsNumber="1" minValue="2.2727272727272725" maxValue="65.909090909090907"/>
    </cacheField>
    <cacheField name="Tempo Gasto  porcentagem" numFmtId="0">
      <sharedItems containsBlank="1" containsMixedTypes="1" containsNumber="1" minValue="3.0211480362537764E-3" maxValue="8.7613293051359523E-2"/>
    </cacheField>
    <cacheField name="tempo Total gasto (min)" numFmtId="0">
      <sharedItems containsString="0" containsBlank="1" containsNumber="1" containsInteger="1" minValue="3310" maxValue="3310"/>
    </cacheField>
    <cacheField name="Nome - Colaborador2" numFmtId="0">
      <sharedItems containsBlank="1"/>
    </cacheField>
    <cacheField name="Total Gasto / colaborador" numFmtId="0">
      <sharedItems containsString="0" containsBlank="1" containsNumber="1" minValue="6.3444108761329304E-2" maxValue="0.268882175226586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520.791769212963" createdVersion="5" refreshedVersion="8" minRefreshableVersion="3" recordCount="849" xr:uid="{00000000-000A-0000-FFFF-FFFF01000000}">
  <cacheSource type="worksheet">
    <worksheetSource ref="A1:F850" sheet="Resultados"/>
  </cacheSource>
  <cacheFields count="6">
    <cacheField name="Nome" numFmtId="0">
      <sharedItems containsBlank="1" count="17">
        <s v="Rodrigo"/>
        <s v="Alex"/>
        <s v="Arthur"/>
        <s v="Luisa"/>
        <s v="Roberto"/>
        <s v="Victoria"/>
        <s v="Murilo"/>
        <m/>
        <s v="Amanda" u="1"/>
        <s v="Emanoeli" u="1"/>
        <s v="FAGNER SILVA" u="1"/>
        <s v="Inaía" u="1"/>
        <s v="Fagener" u="1"/>
        <s v="Layane " u="1"/>
        <s v="luísa " u="1"/>
        <s v="Murilo " u="1"/>
        <s v="Verônica" u="1"/>
      </sharedItems>
    </cacheField>
    <cacheField name="data" numFmtId="14">
      <sharedItems containsNonDate="0" containsDate="1" containsString="0" containsBlank="1" minDate="2024-01-15T00:00:00" maxDate="2024-09-10T00:00:00"/>
    </cacheField>
    <cacheField name="Cliente" numFmtId="0">
      <sharedItems containsBlank="1" count="28">
        <s v="CLIENTE C"/>
        <s v="CLIENTE A"/>
        <s v="CLIENTE D"/>
        <s v="CLIENTE E"/>
        <s v="CLIENTE B"/>
        <m/>
        <s v="AUTHE" u="1"/>
        <s v="ESMERALDA" u="1"/>
        <s v="D'AUTORE" u="1"/>
        <s v="GREENJOY" u="1"/>
        <s v="ISLA" u="1"/>
        <s v="YÓTTUN" u="1"/>
        <s v="NOUA" u="1"/>
        <s v="MARIA ANTONIETA" u="1"/>
        <s v="BOLDRINI" u="1"/>
        <s v="RÃ CHU" u="1"/>
        <s v="AURORA" u="1"/>
        <s v="PC COMUNICAÇÃO" u="1"/>
        <s v="CIRANDA ESCOLA" u="1"/>
        <s v="LA BAMBINA" u="1"/>
        <s v="PAPAI SALIM" u="1"/>
        <s v="Dra. Suzi" u="1"/>
        <s v="FTA" u="1"/>
        <s v="OBA HORTIFRUTI" u="1"/>
        <s v="OBA HORTIFRUTI (JURIDICO)" u="1"/>
        <s v="QUINTA DOS VERDES" u="1"/>
        <s v="B4 - JOB" u="1"/>
        <s v="CIOT" u="1"/>
      </sharedItems>
    </cacheField>
    <cacheField name="Tempo trabalhado (em min)" numFmtId="1">
      <sharedItems containsString="0" containsBlank="1" containsNumber="1" containsInteger="1" minValue="10" maxValue="290"/>
    </cacheField>
    <cacheField name="Local" numFmtId="0">
      <sharedItems containsBlank="1"/>
    </cacheField>
    <cacheField name="Data do preenchimento" numFmtId="14">
      <sharedItems containsNonDate="0" containsDate="1" containsString="0" containsBlank="1" minDate="2024-06-18T00:00:00" maxDate="2024-09-1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520.791769791664" createdVersion="5" refreshedVersion="8" minRefreshableVersion="3" recordCount="1443" xr:uid="{00000000-000A-0000-FFFF-FFFF02000000}">
  <cacheSource type="worksheet">
    <worksheetSource ref="A1:Q1048576" sheet="Resultados"/>
  </cacheSource>
  <cacheFields count="17">
    <cacheField name="Nome" numFmtId="0">
      <sharedItems containsBlank="1" count="17">
        <s v="Rodrigo"/>
        <s v="Alex"/>
        <s v="Arthur"/>
        <s v="Luisa"/>
        <s v="Roberto"/>
        <s v="Victoria"/>
        <s v="Murilo"/>
        <m/>
        <s v="Amanda" u="1"/>
        <s v="Emanoeli" u="1"/>
        <s v="FAGNER SILVA" u="1"/>
        <s v="Inaía" u="1"/>
        <s v="Murilo " u="1"/>
        <s v="Fagener" u="1"/>
        <s v="Layane " u="1"/>
        <s v="luísa " u="1"/>
        <s v="Verônica" u="1"/>
      </sharedItems>
    </cacheField>
    <cacheField name="data" numFmtId="0">
      <sharedItems containsNonDate="0" containsDate="1" containsString="0" containsBlank="1" minDate="2024-01-15T00:00:00" maxDate="2024-09-10T00:00:00"/>
    </cacheField>
    <cacheField name="Cliente" numFmtId="0">
      <sharedItems containsBlank="1" count="38">
        <s v="CLIENTE C"/>
        <s v="CLIENTE A"/>
        <s v="CLIENTE D"/>
        <s v="CLIENTE E"/>
        <s v="CLIENTE B"/>
        <m/>
        <s v="AUTHE" u="1"/>
        <s v="ESMERALDA" u="1"/>
        <s v="D'AUTORE" u="1"/>
        <s v="GREENJOY" u="1"/>
        <s v="ISLA" u="1"/>
        <s v="YÓTTUN" u="1"/>
        <s v="NOUA" u="1"/>
        <s v="MARIA ANTONIETA" u="1"/>
        <s v="BOLDRINI" u="1"/>
        <s v="RÃ CHU" u="1"/>
        <s v="AURORA" u="1"/>
        <s v="PC COMUNICAÇÃO" u="1"/>
        <s v="CIRANDA ESCOLA" u="1"/>
        <s v="LA BAMBINA" u="1"/>
        <s v="PAPAI SALIM" u="1"/>
        <s v="Dra. Suzi" u="1"/>
        <s v="FTA" u="1"/>
        <s v="OBA HORTIFRUTI" u="1"/>
        <s v="OBA HORTIFRUTI (JURIDICO)" u="1"/>
        <s v="QUINTA DOS VERDES" u="1"/>
        <s v="REDE MONTEIRO" u="1"/>
        <s v="YOTTUM" u="1"/>
        <s v="B4 - JOB" u="1"/>
        <s v="INSTITUTO 5INCO" u="1"/>
        <s v="YOTTUN" u="1"/>
        <s v="BRASIL REVERSO" u="1"/>
        <s v="BENINA" u="1"/>
        <s v="EDUARDO LINTZ" u="1"/>
        <s v="BEACH FAVELA" u="1"/>
        <s v="ZEE" u="1"/>
        <s v="Outros" u="1"/>
        <s v="CIOT" u="1"/>
      </sharedItems>
    </cacheField>
    <cacheField name="Tempo trabalhado (em min)" numFmtId="1">
      <sharedItems containsString="0" containsBlank="1" containsNumber="1" containsInteger="1" minValue="10" maxValue="290"/>
    </cacheField>
    <cacheField name="Local" numFmtId="0">
      <sharedItems containsBlank="1"/>
    </cacheField>
    <cacheField name="Data do preenchimento" numFmtId="0">
      <sharedItems containsNonDate="0" containsDate="1" containsString="0" containsBlank="1" minDate="2024-06-18T00:00:00" maxDate="2024-09-10T00:00:00"/>
    </cacheField>
    <cacheField name="Nome - Cliente" numFmtId="0">
      <sharedItems containsBlank="1"/>
    </cacheField>
    <cacheField name="Receita/mês - Cliente" numFmtId="0">
      <sharedItems containsString="0" containsBlank="1" containsNumber="1" containsInteger="1" minValue="2" maxValue="20"/>
    </cacheField>
    <cacheField name="% da fatutamento - Cliente" numFmtId="0">
      <sharedItems containsString="0" containsBlank="1" containsNumber="1" minValue="0.1" maxValue="1"/>
    </cacheField>
    <cacheField name="Custo operacional fixo - Cliente" numFmtId="0">
      <sharedItems containsString="0" containsBlank="1" containsNumber="1" minValue="690.6" maxValue="6906"/>
    </cacheField>
    <cacheField name="Nome - Colaborador" numFmtId="0">
      <sharedItems containsBlank="1"/>
    </cacheField>
    <cacheField name="Salário - Colaborador" numFmtId="0">
      <sharedItems containsString="0" containsBlank="1" containsNumber="1" containsInteger="1" minValue="2100" maxValue="5800"/>
    </cacheField>
    <cacheField name="Horas - Colaborador" numFmtId="0">
      <sharedItems containsString="0" containsBlank="1" containsNumber="1" containsInteger="1" minValue="220" maxValue="220"/>
    </cacheField>
    <cacheField name="Custo/hora - Colaborador" numFmtId="0">
      <sharedItems containsString="0" containsBlank="1" containsNumber="1" minValue="9.545454545454545" maxValue="26.363636363636363"/>
    </cacheField>
    <cacheField name="Descrição - Empresa" numFmtId="0">
      <sharedItems containsBlank="1"/>
    </cacheField>
    <cacheField name="Custos Variados - Empresa" numFmtId="0">
      <sharedItems containsString="0" containsBlank="1" containsNumber="1" containsInteger="1" minValue="138" maxValue="6906"/>
    </cacheField>
    <cacheField name="Custo Operacional" numFmtId="0">
      <sharedItems containsBlank="1" containsMixedTypes="1" containsNumber="1" minValue="2.2727272727272725" maxValue="65.9090909090909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3">
  <r>
    <x v="0"/>
    <d v="2024-08-16T00:00:00"/>
    <x v="0"/>
    <n v="80"/>
    <s v="Presencial"/>
    <d v="2024-08-16T00:00:00"/>
    <s v="CLIENTE A"/>
    <n v="2"/>
    <n v="0.1"/>
    <n v="690.6"/>
    <s v="Roberto"/>
    <n v="3000"/>
    <n v="220"/>
    <n v="13.636363636363637"/>
    <s v="Aluguél "/>
    <n v="5000"/>
    <n v="22.424242424242422"/>
    <n v="2.4169184290030211E-2"/>
    <n v="3310"/>
    <s v="Alex"/>
    <n v="6.3444108761329304E-2"/>
  </r>
  <r>
    <x v="0"/>
    <d v="2024-08-10T00:00:00"/>
    <x v="1"/>
    <n v="90"/>
    <s v="Home"/>
    <d v="2024-08-16T00:00:00"/>
    <s v="CLIENTE B"/>
    <n v="3"/>
    <n v="0.15"/>
    <n v="1035.8999999999999"/>
    <s v="Luisa"/>
    <n v="2500"/>
    <n v="220"/>
    <n v="11.363636363636363"/>
    <s v="Internet"/>
    <n v="200"/>
    <n v="25.227272727272727"/>
    <n v="2.7190332326283987E-2"/>
    <m/>
    <s v="Roberto"/>
    <n v="0.16616314199395771"/>
  </r>
  <r>
    <x v="0"/>
    <d v="2024-08-08T00:00:00"/>
    <x v="2"/>
    <n v="50"/>
    <s v="Home"/>
    <d v="2024-08-16T00:00:00"/>
    <s v="CLIENTE C"/>
    <n v="4"/>
    <n v="0.2"/>
    <n v="1381.2"/>
    <s v="Rodrigo"/>
    <n v="3700"/>
    <n v="220"/>
    <n v="16.818181818181817"/>
    <s v="Provedor "/>
    <n v="138"/>
    <n v="14.015151515151514"/>
    <n v="1.5105740181268883E-2"/>
    <m/>
    <s v="Rodrigo"/>
    <n v="9.3655589123867081E-2"/>
  </r>
  <r>
    <x v="0"/>
    <d v="2024-08-05T00:00:00"/>
    <x v="1"/>
    <n v="30"/>
    <s v="Home"/>
    <d v="2024-08-16T00:00:00"/>
    <s v="CLIENTE D"/>
    <n v="5"/>
    <n v="0.25"/>
    <n v="1726.5"/>
    <s v="Alex"/>
    <n v="4100"/>
    <n v="220"/>
    <n v="18.636363636363637"/>
    <s v="Contabilidade "/>
    <n v="400"/>
    <n v="8.4090909090909083"/>
    <n v="9.0634441087613302E-3"/>
    <m/>
    <s v="Victoria"/>
    <n v="0.13595166163141992"/>
  </r>
  <r>
    <x v="0"/>
    <d v="2024-08-06T00:00:00"/>
    <x v="3"/>
    <n v="10"/>
    <s v="Agência"/>
    <d v="2024-08-16T00:00:00"/>
    <s v="CLIENTE E"/>
    <n v="6"/>
    <n v="0.3"/>
    <n v="2071.7999999999997"/>
    <s v="Victoria"/>
    <n v="5000"/>
    <n v="220"/>
    <n v="22.727272727272727"/>
    <s v="Consultoria "/>
    <n v="800"/>
    <n v="2.8030303030303028"/>
    <n v="3.0211480362537764E-3"/>
    <m/>
    <s v="Luisa"/>
    <n v="0.26888217522658614"/>
  </r>
  <r>
    <x v="0"/>
    <d v="2024-08-01T00:00:00"/>
    <x v="1"/>
    <n v="50"/>
    <s v="Agência"/>
    <d v="2024-08-16T00:00:00"/>
    <s v="SOMA"/>
    <n v="20"/>
    <n v="1"/>
    <n v="6906"/>
    <s v="Murilo "/>
    <n v="2100"/>
    <n v="220"/>
    <n v="9.545454545454545"/>
    <s v="Limpeza "/>
    <n v="368"/>
    <n v="14.015151515151514"/>
    <n v="1.5105740181268883E-2"/>
    <m/>
    <s v="Arthur"/>
    <n v="0.12386706948640484"/>
  </r>
  <r>
    <x v="1"/>
    <d v="2024-07-06T00:00:00"/>
    <x v="4"/>
    <n v="30"/>
    <s v="Presencial"/>
    <d v="2024-07-30T00:00:00"/>
    <m/>
    <m/>
    <m/>
    <m/>
    <s v="Arthur"/>
    <n v="5800"/>
    <n v="220"/>
    <n v="26.363636363636363"/>
    <s v="Soma "/>
    <n v="6906"/>
    <n v="9.3181818181818183"/>
    <n v="9.0634441087613302E-3"/>
    <m/>
    <s v="Murilo"/>
    <n v="0.14803625377643506"/>
  </r>
  <r>
    <x v="1"/>
    <d v="2024-07-01T00:00:00"/>
    <x v="4"/>
    <n v="10"/>
    <s v="Presencial"/>
    <d v="2024-07-30T00:00:00"/>
    <m/>
    <m/>
    <m/>
    <m/>
    <m/>
    <m/>
    <m/>
    <m/>
    <m/>
    <m/>
    <n v="3.106060606060606"/>
    <n v="3.0211480362537764E-3"/>
    <m/>
    <m/>
    <m/>
  </r>
  <r>
    <x v="1"/>
    <d v="2024-07-29T00:00:00"/>
    <x v="1"/>
    <n v="90"/>
    <s v="Presencial"/>
    <d v="2024-07-30T00:00:00"/>
    <m/>
    <m/>
    <m/>
    <m/>
    <m/>
    <m/>
    <m/>
    <m/>
    <m/>
    <m/>
    <n v="27.954545454545453"/>
    <n v="2.7190332326283987E-2"/>
    <m/>
    <m/>
    <m/>
  </r>
  <r>
    <x v="1"/>
    <d v="2024-07-22T00:00:00"/>
    <x v="2"/>
    <n v="40"/>
    <s v="Home"/>
    <d v="2024-07-30T00:00:00"/>
    <m/>
    <m/>
    <m/>
    <m/>
    <m/>
    <m/>
    <m/>
    <m/>
    <m/>
    <m/>
    <n v="12.424242424242424"/>
    <n v="1.2084592145015106E-2"/>
    <m/>
    <m/>
    <m/>
  </r>
  <r>
    <x v="1"/>
    <d v="2024-07-05T00:00:00"/>
    <x v="3"/>
    <n v="40"/>
    <s v="Home"/>
    <d v="2024-07-30T00:00:00"/>
    <m/>
    <m/>
    <m/>
    <m/>
    <m/>
    <m/>
    <m/>
    <m/>
    <m/>
    <m/>
    <n v="12.424242424242424"/>
    <n v="1.2084592145015106E-2"/>
    <m/>
    <m/>
    <m/>
  </r>
  <r>
    <x v="2"/>
    <d v="2024-05-14T00:00:00"/>
    <x v="0"/>
    <n v="60"/>
    <s v="Agência"/>
    <d v="2024-06-18T00:00:00"/>
    <m/>
    <m/>
    <m/>
    <m/>
    <m/>
    <m/>
    <m/>
    <m/>
    <m/>
    <m/>
    <n v="26.363636363636363"/>
    <n v="1.812688821752266E-2"/>
    <m/>
    <m/>
    <m/>
  </r>
  <r>
    <x v="2"/>
    <d v="2024-05-16T00:00:00"/>
    <x v="2"/>
    <n v="60"/>
    <s v="Agência"/>
    <d v="2024-06-18T00:00:00"/>
    <m/>
    <m/>
    <m/>
    <m/>
    <m/>
    <m/>
    <m/>
    <m/>
    <m/>
    <m/>
    <n v="26.363636363636363"/>
    <n v="1.812688821752266E-2"/>
    <m/>
    <m/>
    <m/>
  </r>
  <r>
    <x v="2"/>
    <d v="2024-05-19T00:00:00"/>
    <x v="1"/>
    <n v="20"/>
    <s v="Agência"/>
    <d v="2024-06-18T00:00:00"/>
    <m/>
    <m/>
    <m/>
    <m/>
    <m/>
    <m/>
    <m/>
    <m/>
    <m/>
    <m/>
    <n v="8.7878787878787872"/>
    <n v="6.0422960725075529E-3"/>
    <m/>
    <m/>
    <m/>
  </r>
  <r>
    <x v="2"/>
    <d v="2024-05-22T00:00:00"/>
    <x v="4"/>
    <n v="120"/>
    <s v="Home"/>
    <d v="2024-06-18T00:00:00"/>
    <m/>
    <m/>
    <m/>
    <m/>
    <m/>
    <m/>
    <m/>
    <m/>
    <m/>
    <m/>
    <n v="52.727272727272727"/>
    <n v="3.6253776435045321E-2"/>
    <m/>
    <m/>
    <m/>
  </r>
  <r>
    <x v="2"/>
    <d v="2024-05-18T00:00:00"/>
    <x v="0"/>
    <n v="150"/>
    <s v="Presencial"/>
    <d v="2024-06-18T00:00:00"/>
    <m/>
    <m/>
    <m/>
    <m/>
    <m/>
    <m/>
    <m/>
    <m/>
    <m/>
    <m/>
    <n v="65.909090909090907"/>
    <n v="4.5317220543806644E-2"/>
    <m/>
    <m/>
    <m/>
  </r>
  <r>
    <x v="3"/>
    <d v="2024-01-30T00:00:00"/>
    <x v="1"/>
    <n v="220"/>
    <s v="Agência"/>
    <d v="2024-08-01T00:00:00"/>
    <m/>
    <m/>
    <m/>
    <m/>
    <m/>
    <m/>
    <m/>
    <m/>
    <m/>
    <m/>
    <n v="41.666666666666664"/>
    <n v="6.6465256797583083E-2"/>
    <m/>
    <m/>
    <m/>
  </r>
  <r>
    <x v="3"/>
    <d v="2024-05-02T00:00:00"/>
    <x v="4"/>
    <n v="230"/>
    <s v="Presencial"/>
    <d v="2024-08-01T00:00:00"/>
    <m/>
    <m/>
    <m/>
    <m/>
    <m/>
    <m/>
    <m/>
    <m/>
    <m/>
    <m/>
    <n v="43.560606060606062"/>
    <n v="6.9486404833836862E-2"/>
    <m/>
    <m/>
    <m/>
  </r>
  <r>
    <x v="3"/>
    <d v="2024-01-15T00:00:00"/>
    <x v="2"/>
    <n v="250"/>
    <s v="Agência"/>
    <d v="2024-08-01T00:00:00"/>
    <m/>
    <m/>
    <m/>
    <m/>
    <m/>
    <m/>
    <m/>
    <m/>
    <m/>
    <m/>
    <n v="47.348484848484851"/>
    <n v="7.5528700906344406E-2"/>
    <m/>
    <m/>
    <m/>
  </r>
  <r>
    <x v="3"/>
    <d v="2024-02-29T00:00:00"/>
    <x v="0"/>
    <n v="110"/>
    <s v="Home"/>
    <d v="2024-08-01T00:00:00"/>
    <m/>
    <m/>
    <m/>
    <m/>
    <m/>
    <m/>
    <m/>
    <m/>
    <m/>
    <m/>
    <n v="20.833333333333332"/>
    <n v="3.3232628398791542E-2"/>
    <m/>
    <m/>
    <m/>
  </r>
  <r>
    <x v="3"/>
    <d v="2024-03-30T00:00:00"/>
    <x v="3"/>
    <n v="80"/>
    <s v="Home"/>
    <d v="2024-08-01T00:00:00"/>
    <m/>
    <m/>
    <m/>
    <m/>
    <m/>
    <m/>
    <m/>
    <m/>
    <m/>
    <m/>
    <n v="15.15151515151515"/>
    <n v="2.4169184290030211E-2"/>
    <m/>
    <m/>
    <m/>
  </r>
  <r>
    <x v="4"/>
    <d v="2024-05-09T00:00:00"/>
    <x v="4"/>
    <n v="50"/>
    <s v="Home"/>
    <d v="2024-07-25T00:00:00"/>
    <m/>
    <m/>
    <m/>
    <m/>
    <m/>
    <m/>
    <m/>
    <m/>
    <m/>
    <m/>
    <n v="11.363636363636365"/>
    <n v="1.5105740181268883E-2"/>
    <m/>
    <m/>
    <m/>
  </r>
  <r>
    <x v="4"/>
    <d v="2024-04-02T00:00:00"/>
    <x v="4"/>
    <n v="90"/>
    <s v="Presencial"/>
    <d v="2024-07-25T00:00:00"/>
    <m/>
    <m/>
    <m/>
    <m/>
    <m/>
    <m/>
    <m/>
    <m/>
    <m/>
    <m/>
    <n v="20.454545454545453"/>
    <n v="2.7190332326283987E-2"/>
    <m/>
    <m/>
    <m/>
  </r>
  <r>
    <x v="4"/>
    <d v="2024-04-01T00:00:00"/>
    <x v="3"/>
    <n v="290"/>
    <s v="Presencial"/>
    <d v="2024-07-25T00:00:00"/>
    <m/>
    <m/>
    <m/>
    <m/>
    <m/>
    <m/>
    <m/>
    <m/>
    <m/>
    <m/>
    <n v="65.909090909090907"/>
    <n v="8.7613293051359523E-2"/>
    <m/>
    <m/>
    <m/>
  </r>
  <r>
    <x v="4"/>
    <d v="2024-05-07T00:00:00"/>
    <x v="0"/>
    <n v="110"/>
    <s v="Agência"/>
    <d v="2024-07-25T00:00:00"/>
    <m/>
    <m/>
    <m/>
    <m/>
    <m/>
    <m/>
    <m/>
    <m/>
    <m/>
    <m/>
    <n v="25"/>
    <n v="3.3232628398791542E-2"/>
    <m/>
    <m/>
    <m/>
  </r>
  <r>
    <x v="4"/>
    <d v="2024-05-15T00:00:00"/>
    <x v="0"/>
    <n v="10"/>
    <s v="Agência"/>
    <d v="2024-07-25T00:00:00"/>
    <m/>
    <m/>
    <m/>
    <m/>
    <m/>
    <m/>
    <m/>
    <m/>
    <m/>
    <m/>
    <n v="2.2727272727272725"/>
    <n v="3.0211480362537764E-3"/>
    <m/>
    <m/>
    <m/>
  </r>
  <r>
    <x v="5"/>
    <d v="2024-05-02T00:00:00"/>
    <x v="1"/>
    <n v="50"/>
    <s v="Agência"/>
    <d v="2024-09-09T00:00:00"/>
    <m/>
    <m/>
    <m/>
    <m/>
    <m/>
    <m/>
    <m/>
    <m/>
    <m/>
    <m/>
    <n v="18.939393939393941"/>
    <n v="1.5105740181268883E-2"/>
    <m/>
    <m/>
    <m/>
  </r>
  <r>
    <x v="5"/>
    <d v="2024-09-09T00:00:00"/>
    <x v="0"/>
    <n v="30"/>
    <s v="Agência"/>
    <d v="2024-09-09T00:00:00"/>
    <m/>
    <m/>
    <m/>
    <m/>
    <m/>
    <m/>
    <m/>
    <m/>
    <m/>
    <m/>
    <n v="11.363636363636363"/>
    <n v="9.0634441087613302E-3"/>
    <m/>
    <m/>
    <m/>
  </r>
  <r>
    <x v="5"/>
    <d v="2024-05-04T00:00:00"/>
    <x v="1"/>
    <n v="90"/>
    <s v="Home"/>
    <d v="2024-09-09T00:00:00"/>
    <m/>
    <m/>
    <m/>
    <m/>
    <m/>
    <m/>
    <m/>
    <m/>
    <m/>
    <m/>
    <n v="34.090909090909093"/>
    <n v="2.7190332326283987E-2"/>
    <m/>
    <m/>
    <m/>
  </r>
  <r>
    <x v="5"/>
    <d v="2024-07-02T00:00:00"/>
    <x v="4"/>
    <n v="130"/>
    <s v="Home"/>
    <d v="2024-09-09T00:00:00"/>
    <m/>
    <m/>
    <m/>
    <m/>
    <m/>
    <m/>
    <m/>
    <m/>
    <m/>
    <m/>
    <n v="49.242424242424235"/>
    <n v="3.9274924471299093E-2"/>
    <m/>
    <m/>
    <m/>
  </r>
  <r>
    <x v="5"/>
    <d v="2024-08-06T00:00:00"/>
    <x v="2"/>
    <n v="150"/>
    <s v="Home"/>
    <d v="2024-09-09T00:00:00"/>
    <m/>
    <m/>
    <m/>
    <m/>
    <m/>
    <m/>
    <m/>
    <m/>
    <m/>
    <m/>
    <n v="56.818181818181813"/>
    <n v="4.5317220543806644E-2"/>
    <m/>
    <m/>
    <m/>
  </r>
  <r>
    <x v="6"/>
    <d v="2024-07-02T00:00:00"/>
    <x v="1"/>
    <n v="200"/>
    <s v="Agência"/>
    <d v="2024-09-02T00:00:00"/>
    <m/>
    <m/>
    <m/>
    <m/>
    <m/>
    <m/>
    <m/>
    <m/>
    <m/>
    <m/>
    <s v=""/>
    <n v="6.0422960725075532E-2"/>
    <m/>
    <m/>
    <m/>
  </r>
  <r>
    <x v="6"/>
    <d v="2024-09-02T00:00:00"/>
    <x v="0"/>
    <n v="110"/>
    <s v="Presencial"/>
    <d v="2024-09-02T00:00:00"/>
    <m/>
    <m/>
    <m/>
    <m/>
    <m/>
    <m/>
    <m/>
    <m/>
    <m/>
    <m/>
    <s v=""/>
    <n v="3.3232628398791542E-2"/>
    <m/>
    <m/>
    <m/>
  </r>
  <r>
    <x v="6"/>
    <d v="2024-03-15T00:00:00"/>
    <x v="4"/>
    <n v="70"/>
    <s v="Presencial"/>
    <d v="2024-09-02T00:00:00"/>
    <m/>
    <m/>
    <m/>
    <m/>
    <m/>
    <m/>
    <m/>
    <m/>
    <m/>
    <m/>
    <s v=""/>
    <n v="2.1148036253776436E-2"/>
    <m/>
    <m/>
    <m/>
  </r>
  <r>
    <x v="6"/>
    <d v="2024-06-30T00:00:00"/>
    <x v="0"/>
    <n v="90"/>
    <s v="Presencial"/>
    <d v="2024-09-02T00:00:00"/>
    <m/>
    <m/>
    <m/>
    <m/>
    <m/>
    <m/>
    <m/>
    <m/>
    <m/>
    <m/>
    <s v=""/>
    <n v="2.7190332326283987E-2"/>
    <m/>
    <m/>
    <m/>
  </r>
  <r>
    <x v="6"/>
    <d v="2024-07-23T00:00:00"/>
    <x v="0"/>
    <n v="20"/>
    <s v="Presencial"/>
    <d v="2024-09-02T00:00:00"/>
    <m/>
    <m/>
    <m/>
    <m/>
    <m/>
    <m/>
    <m/>
    <m/>
    <m/>
    <m/>
    <s v=""/>
    <n v="6.0422960725075529E-3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9">
  <r>
    <x v="0"/>
    <d v="2024-08-16T00:00:00"/>
    <x v="0"/>
    <n v="80"/>
    <s v="Presencial"/>
    <d v="2024-08-16T00:00:00"/>
  </r>
  <r>
    <x v="0"/>
    <d v="2024-08-10T00:00:00"/>
    <x v="1"/>
    <n v="90"/>
    <s v="Home"/>
    <d v="2024-08-16T00:00:00"/>
  </r>
  <r>
    <x v="0"/>
    <d v="2024-08-08T00:00:00"/>
    <x v="2"/>
    <n v="50"/>
    <s v="Home"/>
    <d v="2024-08-16T00:00:00"/>
  </r>
  <r>
    <x v="0"/>
    <d v="2024-08-05T00:00:00"/>
    <x v="1"/>
    <n v="30"/>
    <s v="Home"/>
    <d v="2024-08-16T00:00:00"/>
  </r>
  <r>
    <x v="0"/>
    <d v="2024-08-06T00:00:00"/>
    <x v="3"/>
    <n v="10"/>
    <s v="Agência"/>
    <d v="2024-08-16T00:00:00"/>
  </r>
  <r>
    <x v="0"/>
    <d v="2024-08-01T00:00:00"/>
    <x v="1"/>
    <n v="50"/>
    <s v="Agência"/>
    <d v="2024-08-16T00:00:00"/>
  </r>
  <r>
    <x v="1"/>
    <d v="2024-07-06T00:00:00"/>
    <x v="4"/>
    <n v="30"/>
    <s v="Presencial"/>
    <d v="2024-07-30T00:00:00"/>
  </r>
  <r>
    <x v="1"/>
    <d v="2024-07-01T00:00:00"/>
    <x v="4"/>
    <n v="10"/>
    <s v="Presencial"/>
    <d v="2024-07-30T00:00:00"/>
  </r>
  <r>
    <x v="1"/>
    <d v="2024-07-29T00:00:00"/>
    <x v="1"/>
    <n v="90"/>
    <s v="Presencial"/>
    <d v="2024-07-30T00:00:00"/>
  </r>
  <r>
    <x v="1"/>
    <d v="2024-07-22T00:00:00"/>
    <x v="2"/>
    <n v="40"/>
    <s v="Home"/>
    <d v="2024-07-30T00:00:00"/>
  </r>
  <r>
    <x v="1"/>
    <d v="2024-07-05T00:00:00"/>
    <x v="3"/>
    <n v="40"/>
    <s v="Home"/>
    <d v="2024-07-30T00:00:00"/>
  </r>
  <r>
    <x v="2"/>
    <d v="2024-05-14T00:00:00"/>
    <x v="0"/>
    <n v="60"/>
    <s v="Agência"/>
    <d v="2024-06-18T00:00:00"/>
  </r>
  <r>
    <x v="2"/>
    <d v="2024-05-16T00:00:00"/>
    <x v="2"/>
    <n v="60"/>
    <s v="Agência"/>
    <d v="2024-06-18T00:00:00"/>
  </r>
  <r>
    <x v="2"/>
    <d v="2024-05-19T00:00:00"/>
    <x v="1"/>
    <n v="20"/>
    <s v="Agência"/>
    <d v="2024-06-18T00:00:00"/>
  </r>
  <r>
    <x v="2"/>
    <d v="2024-05-22T00:00:00"/>
    <x v="4"/>
    <n v="120"/>
    <s v="Home"/>
    <d v="2024-06-18T00:00:00"/>
  </r>
  <r>
    <x v="2"/>
    <d v="2024-05-18T00:00:00"/>
    <x v="0"/>
    <n v="150"/>
    <s v="Presencial"/>
    <d v="2024-06-18T00:00:00"/>
  </r>
  <r>
    <x v="3"/>
    <d v="2024-01-30T00:00:00"/>
    <x v="1"/>
    <n v="220"/>
    <s v="Agência"/>
    <d v="2024-08-01T00:00:00"/>
  </r>
  <r>
    <x v="3"/>
    <d v="2024-05-02T00:00:00"/>
    <x v="4"/>
    <n v="230"/>
    <s v="Presencial"/>
    <d v="2024-08-01T00:00:00"/>
  </r>
  <r>
    <x v="3"/>
    <d v="2024-01-15T00:00:00"/>
    <x v="2"/>
    <n v="250"/>
    <s v="Agência"/>
    <d v="2024-08-01T00:00:00"/>
  </r>
  <r>
    <x v="3"/>
    <d v="2024-02-29T00:00:00"/>
    <x v="0"/>
    <n v="110"/>
    <s v="Home"/>
    <d v="2024-08-01T00:00:00"/>
  </r>
  <r>
    <x v="3"/>
    <d v="2024-03-30T00:00:00"/>
    <x v="3"/>
    <n v="80"/>
    <s v="Home"/>
    <d v="2024-08-01T00:00:00"/>
  </r>
  <r>
    <x v="4"/>
    <d v="2024-05-09T00:00:00"/>
    <x v="4"/>
    <n v="50"/>
    <s v="Home"/>
    <d v="2024-07-25T00:00:00"/>
  </r>
  <r>
    <x v="4"/>
    <d v="2024-04-02T00:00:00"/>
    <x v="4"/>
    <n v="90"/>
    <s v="Presencial"/>
    <d v="2024-07-25T00:00:00"/>
  </r>
  <r>
    <x v="4"/>
    <d v="2024-04-01T00:00:00"/>
    <x v="3"/>
    <n v="290"/>
    <s v="Presencial"/>
    <d v="2024-07-25T00:00:00"/>
  </r>
  <r>
    <x v="4"/>
    <d v="2024-05-07T00:00:00"/>
    <x v="0"/>
    <n v="110"/>
    <s v="Agência"/>
    <d v="2024-07-25T00:00:00"/>
  </r>
  <r>
    <x v="4"/>
    <d v="2024-05-15T00:00:00"/>
    <x v="0"/>
    <n v="10"/>
    <s v="Agência"/>
    <d v="2024-07-25T00:00:00"/>
  </r>
  <r>
    <x v="5"/>
    <d v="2024-05-02T00:00:00"/>
    <x v="1"/>
    <n v="50"/>
    <s v="Agência"/>
    <d v="2024-09-09T00:00:00"/>
  </r>
  <r>
    <x v="5"/>
    <d v="2024-09-09T00:00:00"/>
    <x v="0"/>
    <n v="30"/>
    <s v="Agência"/>
    <d v="2024-09-09T00:00:00"/>
  </r>
  <r>
    <x v="5"/>
    <d v="2024-05-04T00:00:00"/>
    <x v="1"/>
    <n v="90"/>
    <s v="Home"/>
    <d v="2024-09-09T00:00:00"/>
  </r>
  <r>
    <x v="5"/>
    <d v="2024-07-02T00:00:00"/>
    <x v="4"/>
    <n v="130"/>
    <s v="Home"/>
    <d v="2024-09-09T00:00:00"/>
  </r>
  <r>
    <x v="5"/>
    <d v="2024-08-06T00:00:00"/>
    <x v="2"/>
    <n v="150"/>
    <s v="Home"/>
    <d v="2024-09-09T00:00:00"/>
  </r>
  <r>
    <x v="6"/>
    <d v="2024-07-02T00:00:00"/>
    <x v="1"/>
    <n v="200"/>
    <s v="Agência"/>
    <d v="2024-09-02T00:00:00"/>
  </r>
  <r>
    <x v="6"/>
    <d v="2024-09-02T00:00:00"/>
    <x v="0"/>
    <n v="110"/>
    <s v="Presencial"/>
    <d v="2024-09-02T00:00:00"/>
  </r>
  <r>
    <x v="6"/>
    <d v="2024-03-15T00:00:00"/>
    <x v="4"/>
    <n v="70"/>
    <s v="Presencial"/>
    <d v="2024-09-02T00:00:00"/>
  </r>
  <r>
    <x v="6"/>
    <d v="2024-06-30T00:00:00"/>
    <x v="0"/>
    <n v="90"/>
    <s v="Presencial"/>
    <d v="2024-09-02T00:00:00"/>
  </r>
  <r>
    <x v="6"/>
    <d v="2024-07-23T00:00:00"/>
    <x v="0"/>
    <n v="20"/>
    <s v="Presencial"/>
    <d v="2024-09-02T00:00:00"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3">
  <r>
    <x v="0"/>
    <d v="2024-08-16T00:00:00"/>
    <x v="0"/>
    <n v="80"/>
    <s v="Presencial"/>
    <d v="2024-08-16T00:00:00"/>
    <s v="CLIENTE A"/>
    <n v="2"/>
    <n v="0.1"/>
    <n v="690.6"/>
    <s v="Roberto"/>
    <n v="3000"/>
    <n v="220"/>
    <n v="13.636363636363637"/>
    <s v="Aluguél "/>
    <n v="5000"/>
    <n v="22.424242424242422"/>
  </r>
  <r>
    <x v="0"/>
    <d v="2024-08-10T00:00:00"/>
    <x v="1"/>
    <n v="90"/>
    <s v="Home"/>
    <d v="2024-08-16T00:00:00"/>
    <s v="CLIENTE B"/>
    <n v="3"/>
    <n v="0.15"/>
    <n v="1035.8999999999999"/>
    <s v="Luisa"/>
    <n v="2500"/>
    <n v="220"/>
    <n v="11.363636363636363"/>
    <s v="Internet"/>
    <n v="200"/>
    <n v="25.227272727272727"/>
  </r>
  <r>
    <x v="0"/>
    <d v="2024-08-08T00:00:00"/>
    <x v="2"/>
    <n v="50"/>
    <s v="Home"/>
    <d v="2024-08-16T00:00:00"/>
    <s v="CLIENTE C"/>
    <n v="4"/>
    <n v="0.2"/>
    <n v="1381.2"/>
    <s v="Rodrigo"/>
    <n v="3700"/>
    <n v="220"/>
    <n v="16.818181818181817"/>
    <s v="Provedor "/>
    <n v="138"/>
    <n v="14.015151515151514"/>
  </r>
  <r>
    <x v="0"/>
    <d v="2024-08-05T00:00:00"/>
    <x v="1"/>
    <n v="30"/>
    <s v="Home"/>
    <d v="2024-08-16T00:00:00"/>
    <s v="CLIENTE D"/>
    <n v="5"/>
    <n v="0.25"/>
    <n v="1726.5"/>
    <s v="Alex"/>
    <n v="4100"/>
    <n v="220"/>
    <n v="18.636363636363637"/>
    <s v="Contabilidade "/>
    <n v="400"/>
    <n v="8.4090909090909083"/>
  </r>
  <r>
    <x v="0"/>
    <d v="2024-08-06T00:00:00"/>
    <x v="3"/>
    <n v="10"/>
    <s v="Agência"/>
    <d v="2024-08-16T00:00:00"/>
    <s v="CLIENTE E"/>
    <n v="6"/>
    <n v="0.3"/>
    <n v="2071.7999999999997"/>
    <s v="Victoria"/>
    <n v="5000"/>
    <n v="220"/>
    <n v="22.727272727272727"/>
    <s v="Consultoria "/>
    <n v="800"/>
    <n v="2.8030303030303028"/>
  </r>
  <r>
    <x v="0"/>
    <d v="2024-08-01T00:00:00"/>
    <x v="1"/>
    <n v="50"/>
    <s v="Agência"/>
    <d v="2024-08-16T00:00:00"/>
    <s v="SOMA"/>
    <n v="20"/>
    <n v="1"/>
    <n v="6906"/>
    <s v="Murilo "/>
    <n v="2100"/>
    <n v="220"/>
    <n v="9.545454545454545"/>
    <s v="Limpeza "/>
    <n v="368"/>
    <n v="14.015151515151514"/>
  </r>
  <r>
    <x v="1"/>
    <d v="2024-07-06T00:00:00"/>
    <x v="4"/>
    <n v="30"/>
    <s v="Presencial"/>
    <d v="2024-07-30T00:00:00"/>
    <m/>
    <m/>
    <m/>
    <m/>
    <s v="Arthur"/>
    <n v="5800"/>
    <n v="220"/>
    <n v="26.363636363636363"/>
    <s v="Soma "/>
    <n v="6906"/>
    <n v="9.3181818181818183"/>
  </r>
  <r>
    <x v="1"/>
    <d v="2024-07-01T00:00:00"/>
    <x v="4"/>
    <n v="10"/>
    <s v="Presencial"/>
    <d v="2024-07-30T00:00:00"/>
    <m/>
    <m/>
    <m/>
    <m/>
    <m/>
    <m/>
    <m/>
    <m/>
    <m/>
    <m/>
    <n v="3.106060606060606"/>
  </r>
  <r>
    <x v="1"/>
    <d v="2024-07-29T00:00:00"/>
    <x v="1"/>
    <n v="90"/>
    <s v="Presencial"/>
    <d v="2024-07-30T00:00:00"/>
    <m/>
    <m/>
    <m/>
    <m/>
    <m/>
    <m/>
    <m/>
    <m/>
    <m/>
    <m/>
    <n v="27.954545454545453"/>
  </r>
  <r>
    <x v="1"/>
    <d v="2024-07-22T00:00:00"/>
    <x v="2"/>
    <n v="40"/>
    <s v="Home"/>
    <d v="2024-07-30T00:00:00"/>
    <m/>
    <m/>
    <m/>
    <m/>
    <m/>
    <m/>
    <m/>
    <m/>
    <m/>
    <m/>
    <n v="12.424242424242424"/>
  </r>
  <r>
    <x v="1"/>
    <d v="2024-07-05T00:00:00"/>
    <x v="3"/>
    <n v="40"/>
    <s v="Home"/>
    <d v="2024-07-30T00:00:00"/>
    <m/>
    <m/>
    <m/>
    <m/>
    <m/>
    <m/>
    <m/>
    <m/>
    <m/>
    <m/>
    <n v="12.424242424242424"/>
  </r>
  <r>
    <x v="2"/>
    <d v="2024-05-14T00:00:00"/>
    <x v="0"/>
    <n v="60"/>
    <s v="Agência"/>
    <d v="2024-06-18T00:00:00"/>
    <m/>
    <m/>
    <m/>
    <m/>
    <m/>
    <m/>
    <m/>
    <m/>
    <m/>
    <m/>
    <n v="26.363636363636363"/>
  </r>
  <r>
    <x v="2"/>
    <d v="2024-05-16T00:00:00"/>
    <x v="2"/>
    <n v="60"/>
    <s v="Agência"/>
    <d v="2024-06-18T00:00:00"/>
    <m/>
    <m/>
    <m/>
    <m/>
    <m/>
    <m/>
    <m/>
    <m/>
    <m/>
    <m/>
    <n v="26.363636363636363"/>
  </r>
  <r>
    <x v="2"/>
    <d v="2024-05-19T00:00:00"/>
    <x v="1"/>
    <n v="20"/>
    <s v="Agência"/>
    <d v="2024-06-18T00:00:00"/>
    <m/>
    <m/>
    <m/>
    <m/>
    <m/>
    <m/>
    <m/>
    <m/>
    <m/>
    <m/>
    <n v="8.7878787878787872"/>
  </r>
  <r>
    <x v="2"/>
    <d v="2024-05-22T00:00:00"/>
    <x v="4"/>
    <n v="120"/>
    <s v="Home"/>
    <d v="2024-06-18T00:00:00"/>
    <m/>
    <m/>
    <m/>
    <m/>
    <m/>
    <m/>
    <m/>
    <m/>
    <m/>
    <m/>
    <n v="52.727272727272727"/>
  </r>
  <r>
    <x v="2"/>
    <d v="2024-05-18T00:00:00"/>
    <x v="0"/>
    <n v="150"/>
    <s v="Presencial"/>
    <d v="2024-06-18T00:00:00"/>
    <m/>
    <m/>
    <m/>
    <m/>
    <m/>
    <m/>
    <m/>
    <m/>
    <m/>
    <m/>
    <n v="65.909090909090907"/>
  </r>
  <r>
    <x v="3"/>
    <d v="2024-01-30T00:00:00"/>
    <x v="1"/>
    <n v="220"/>
    <s v="Agência"/>
    <d v="2024-08-01T00:00:00"/>
    <m/>
    <m/>
    <m/>
    <m/>
    <m/>
    <m/>
    <m/>
    <m/>
    <m/>
    <m/>
    <n v="41.666666666666664"/>
  </r>
  <r>
    <x v="3"/>
    <d v="2024-05-02T00:00:00"/>
    <x v="4"/>
    <n v="230"/>
    <s v="Presencial"/>
    <d v="2024-08-01T00:00:00"/>
    <m/>
    <m/>
    <m/>
    <m/>
    <m/>
    <m/>
    <m/>
    <m/>
    <m/>
    <m/>
    <n v="43.560606060606062"/>
  </r>
  <r>
    <x v="3"/>
    <d v="2024-01-15T00:00:00"/>
    <x v="2"/>
    <n v="250"/>
    <s v="Agência"/>
    <d v="2024-08-01T00:00:00"/>
    <m/>
    <m/>
    <m/>
    <m/>
    <m/>
    <m/>
    <m/>
    <m/>
    <m/>
    <m/>
    <n v="47.348484848484851"/>
  </r>
  <r>
    <x v="3"/>
    <d v="2024-02-29T00:00:00"/>
    <x v="0"/>
    <n v="110"/>
    <s v="Home"/>
    <d v="2024-08-01T00:00:00"/>
    <m/>
    <m/>
    <m/>
    <m/>
    <m/>
    <m/>
    <m/>
    <m/>
    <m/>
    <m/>
    <n v="20.833333333333332"/>
  </r>
  <r>
    <x v="3"/>
    <d v="2024-03-30T00:00:00"/>
    <x v="3"/>
    <n v="80"/>
    <s v="Home"/>
    <d v="2024-08-01T00:00:00"/>
    <m/>
    <m/>
    <m/>
    <m/>
    <m/>
    <m/>
    <m/>
    <m/>
    <m/>
    <m/>
    <n v="15.15151515151515"/>
  </r>
  <r>
    <x v="4"/>
    <d v="2024-05-09T00:00:00"/>
    <x v="4"/>
    <n v="50"/>
    <s v="Home"/>
    <d v="2024-07-25T00:00:00"/>
    <m/>
    <m/>
    <m/>
    <m/>
    <m/>
    <m/>
    <m/>
    <m/>
    <m/>
    <m/>
    <n v="11.363636363636365"/>
  </r>
  <r>
    <x v="4"/>
    <d v="2024-04-02T00:00:00"/>
    <x v="4"/>
    <n v="90"/>
    <s v="Presencial"/>
    <d v="2024-07-25T00:00:00"/>
    <m/>
    <m/>
    <m/>
    <m/>
    <m/>
    <m/>
    <m/>
    <m/>
    <m/>
    <m/>
    <n v="20.454545454545453"/>
  </r>
  <r>
    <x v="4"/>
    <d v="2024-04-01T00:00:00"/>
    <x v="3"/>
    <n v="290"/>
    <s v="Presencial"/>
    <d v="2024-07-25T00:00:00"/>
    <m/>
    <m/>
    <m/>
    <m/>
    <m/>
    <m/>
    <m/>
    <m/>
    <m/>
    <m/>
    <n v="65.909090909090907"/>
  </r>
  <r>
    <x v="4"/>
    <d v="2024-05-07T00:00:00"/>
    <x v="0"/>
    <n v="110"/>
    <s v="Agência"/>
    <d v="2024-07-25T00:00:00"/>
    <m/>
    <m/>
    <m/>
    <m/>
    <m/>
    <m/>
    <m/>
    <m/>
    <m/>
    <m/>
    <n v="25"/>
  </r>
  <r>
    <x v="4"/>
    <d v="2024-05-15T00:00:00"/>
    <x v="0"/>
    <n v="10"/>
    <s v="Agência"/>
    <d v="2024-07-25T00:00:00"/>
    <m/>
    <m/>
    <m/>
    <m/>
    <m/>
    <m/>
    <m/>
    <m/>
    <m/>
    <m/>
    <n v="2.2727272727272725"/>
  </r>
  <r>
    <x v="5"/>
    <d v="2024-05-02T00:00:00"/>
    <x v="1"/>
    <n v="50"/>
    <s v="Agência"/>
    <d v="2024-09-09T00:00:00"/>
    <m/>
    <m/>
    <m/>
    <m/>
    <m/>
    <m/>
    <m/>
    <m/>
    <m/>
    <m/>
    <n v="18.939393939393941"/>
  </r>
  <r>
    <x v="5"/>
    <d v="2024-09-09T00:00:00"/>
    <x v="0"/>
    <n v="30"/>
    <s v="Agência"/>
    <d v="2024-09-09T00:00:00"/>
    <m/>
    <m/>
    <m/>
    <m/>
    <m/>
    <m/>
    <m/>
    <m/>
    <m/>
    <m/>
    <n v="11.363636363636363"/>
  </r>
  <r>
    <x v="5"/>
    <d v="2024-05-04T00:00:00"/>
    <x v="1"/>
    <n v="90"/>
    <s v="Home"/>
    <d v="2024-09-09T00:00:00"/>
    <m/>
    <m/>
    <m/>
    <m/>
    <m/>
    <m/>
    <m/>
    <m/>
    <m/>
    <m/>
    <n v="34.090909090909093"/>
  </r>
  <r>
    <x v="5"/>
    <d v="2024-07-02T00:00:00"/>
    <x v="4"/>
    <n v="130"/>
    <s v="Home"/>
    <d v="2024-09-09T00:00:00"/>
    <m/>
    <m/>
    <m/>
    <m/>
    <m/>
    <m/>
    <m/>
    <m/>
    <m/>
    <m/>
    <n v="49.242424242424235"/>
  </r>
  <r>
    <x v="5"/>
    <d v="2024-08-06T00:00:00"/>
    <x v="2"/>
    <n v="150"/>
    <s v="Home"/>
    <d v="2024-09-09T00:00:00"/>
    <m/>
    <m/>
    <m/>
    <m/>
    <m/>
    <m/>
    <m/>
    <m/>
    <m/>
    <m/>
    <n v="56.818181818181813"/>
  </r>
  <r>
    <x v="6"/>
    <d v="2024-07-02T00:00:00"/>
    <x v="1"/>
    <n v="200"/>
    <s v="Agência"/>
    <d v="2024-09-02T00:00:00"/>
    <m/>
    <m/>
    <m/>
    <m/>
    <m/>
    <m/>
    <m/>
    <m/>
    <m/>
    <m/>
    <s v=""/>
  </r>
  <r>
    <x v="6"/>
    <d v="2024-09-02T00:00:00"/>
    <x v="0"/>
    <n v="110"/>
    <s v="Presencial"/>
    <d v="2024-09-02T00:00:00"/>
    <m/>
    <m/>
    <m/>
    <m/>
    <m/>
    <m/>
    <m/>
    <m/>
    <m/>
    <m/>
    <s v=""/>
  </r>
  <r>
    <x v="6"/>
    <d v="2024-03-15T00:00:00"/>
    <x v="4"/>
    <n v="70"/>
    <s v="Presencial"/>
    <d v="2024-09-02T00:00:00"/>
    <m/>
    <m/>
    <m/>
    <m/>
    <m/>
    <m/>
    <m/>
    <m/>
    <m/>
    <m/>
    <s v=""/>
  </r>
  <r>
    <x v="6"/>
    <d v="2024-06-30T00:00:00"/>
    <x v="0"/>
    <n v="90"/>
    <s v="Presencial"/>
    <d v="2024-09-02T00:00:00"/>
    <m/>
    <m/>
    <m/>
    <m/>
    <m/>
    <m/>
    <m/>
    <m/>
    <m/>
    <m/>
    <s v=""/>
  </r>
  <r>
    <x v="6"/>
    <d v="2024-07-23T00:00:00"/>
    <x v="0"/>
    <n v="20"/>
    <s v="Presencial"/>
    <d v="2024-09-02T00:00:00"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ela dinâmica6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6">
  <location ref="A22:B28" firstHeaderRow="1" firstDataRow="1" firstDataCol="1" rowPageCount="1" colPageCount="1"/>
  <pivotFields count="17">
    <pivotField axis="axisPage" multipleItemSelectionAllowed="1" showAll="0">
      <items count="18">
        <item m="1" x="8"/>
        <item m="1" x="13"/>
        <item m="1" x="11"/>
        <item m="1" x="14"/>
        <item m="1" x="15"/>
        <item m="1" x="12"/>
        <item m="1" x="16"/>
        <item x="7"/>
        <item m="1" x="9"/>
        <item m="1" x="10"/>
        <item x="0"/>
        <item x="1"/>
        <item x="2"/>
        <item x="3"/>
        <item x="4"/>
        <item x="5"/>
        <item x="6"/>
        <item t="default"/>
      </items>
    </pivotField>
    <pivotField showAll="0"/>
    <pivotField axis="axisRow" showAll="0">
      <items count="39">
        <item h="1" m="1" x="16"/>
        <item h="1" m="1" x="28"/>
        <item h="1" m="1" x="14"/>
        <item h="1" m="1" x="37"/>
        <item h="1" m="1" x="18"/>
        <item h="1" m="1" x="8"/>
        <item h="1" m="1" x="7"/>
        <item h="1" m="1" x="22"/>
        <item h="1" m="1" x="9"/>
        <item h="1" m="1" x="10"/>
        <item h="1" m="1" x="19"/>
        <item h="1" x="5"/>
        <item h="1" m="1" x="6"/>
        <item h="1" m="1" x="11"/>
        <item h="1" m="1" x="12"/>
        <item h="1" m="1" x="13"/>
        <item h="1" m="1" x="15"/>
        <item h="1" m="1" x="17"/>
        <item h="1" m="1" x="20"/>
        <item h="1" m="1" x="21"/>
        <item h="1" m="1" x="23"/>
        <item h="1" m="1" x="24"/>
        <item h="1" m="1" x="25"/>
        <item h="1" m="1" x="26"/>
        <item h="1" m="1" x="27"/>
        <item h="1" m="1" x="29"/>
        <item h="1" m="1" x="30"/>
        <item h="1" m="1" x="31"/>
        <item h="1" m="1" x="32"/>
        <item h="1" m="1" x="33"/>
        <item h="1" m="1" x="34"/>
        <item h="1" m="1" x="35"/>
        <item h="1" m="1" x="36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6">
    <i>
      <x v="33"/>
    </i>
    <i>
      <x v="34"/>
    </i>
    <i>
      <x v="35"/>
    </i>
    <i>
      <x v="36"/>
    </i>
    <i>
      <x v="37"/>
    </i>
    <i t="grand">
      <x/>
    </i>
  </rowItems>
  <colItems count="1">
    <i/>
  </colItems>
  <pageFields count="1">
    <pageField fld="0" hier="-1"/>
  </pageFields>
  <dataFields count="1">
    <dataField name="Soma de Custo Operacional" fld="16" baseField="2" baseItem="0"/>
  </dataFields>
  <formats count="14">
    <format dxfId="13">
      <pivotArea collapsedLevelsAreSubtotals="1" fieldPosition="0">
        <references count="1">
          <reference field="2" count="0"/>
        </references>
      </pivotArea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2" type="button" dataOnly="0" labelOnly="1" outline="0" axis="axisRow" fieldPosition="0"/>
    </format>
    <format dxfId="9">
      <pivotArea dataOnly="0" labelOnly="1" outline="0" axis="axisValues" fieldPosition="0"/>
    </format>
    <format dxfId="8">
      <pivotArea dataOnly="0" labelOnly="1" fieldPosition="0">
        <references count="1">
          <reference field="2" count="0"/>
        </references>
      </pivotArea>
    </format>
    <format dxfId="7">
      <pivotArea dataOnly="0" labelOnly="1" grandRow="1" outline="0" fieldPosition="0"/>
    </format>
    <format dxfId="6">
      <pivotArea grandRow="1" outline="0" collapsedLevelsAreSubtotals="1" fieldPosition="0"/>
    </format>
    <format dxfId="5">
      <pivotArea collapsedLevelsAreSubtotals="1" fieldPosition="0">
        <references count="1">
          <reference field="2" count="18"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</reference>
        </references>
      </pivotArea>
    </format>
    <format dxfId="4">
      <pivotArea grandRow="1" outline="0" collapsedLevelsAreSubtotals="1" fieldPosition="0"/>
    </format>
    <format dxfId="3">
      <pivotArea dataOnly="0" labelOnly="1" fieldPosition="0">
        <references count="1">
          <reference field="2" count="18"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</reference>
        </references>
      </pivotArea>
    </format>
    <format dxfId="2">
      <pivotArea dataOnly="0" labelOnly="1" grandRow="1" outline="0" fieldPosition="0"/>
    </format>
    <format dxfId="1">
      <pivotArea collapsedLevelsAreSubtotals="1" fieldPosition="0">
        <references count="1">
          <reference field="2" count="18"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</reference>
        </references>
      </pivotArea>
    </format>
    <format dxfId="0">
      <pivotArea grandRow="1"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8">
  <location ref="A4:B13" firstHeaderRow="1" firstDataRow="1" firstDataCol="1" rowPageCount="1" colPageCount="1"/>
  <pivotFields count="6">
    <pivotField axis="axisRow" multipleItemSelectionAllowed="1" showAll="0">
      <items count="18">
        <item m="1" x="8"/>
        <item m="1" x="12"/>
        <item m="1" x="11"/>
        <item m="1" x="13"/>
        <item m="1" x="14"/>
        <item m="1" x="15"/>
        <item m="1" x="16"/>
        <item x="7"/>
        <item m="1" x="9"/>
        <item m="1" x="10"/>
        <item x="0"/>
        <item x="1"/>
        <item x="2"/>
        <item x="3"/>
        <item x="4"/>
        <item x="5"/>
        <item x="6"/>
        <item t="default"/>
      </items>
    </pivotField>
    <pivotField numFmtId="14" showAll="0"/>
    <pivotField axis="axisPage" multipleItemSelectionAllowed="1" showAll="0">
      <items count="29">
        <item h="1" m="1" x="26"/>
        <item m="1" x="14"/>
        <item h="1" m="1" x="27"/>
        <item m="1" x="18"/>
        <item m="1" x="8"/>
        <item m="1" x="7"/>
        <item m="1" x="22"/>
        <item m="1" x="9"/>
        <item m="1" x="10"/>
        <item m="1" x="19"/>
        <item x="5"/>
        <item m="1" x="16"/>
        <item m="1" x="6"/>
        <item m="1" x="11"/>
        <item m="1" x="12"/>
        <item m="1" x="13"/>
        <item m="1" x="15"/>
        <item m="1" x="17"/>
        <item m="1" x="20"/>
        <item m="1" x="21"/>
        <item m="1" x="23"/>
        <item m="1" x="24"/>
        <item m="1" x="25"/>
        <item x="0"/>
        <item x="1"/>
        <item x="2"/>
        <item x="3"/>
        <item x="4"/>
        <item t="default"/>
      </items>
    </pivotField>
    <pivotField dataField="1" showAll="0"/>
    <pivotField showAll="0"/>
    <pivotField showAll="0" defaultSubtotal="0"/>
  </pivotFields>
  <rowFields count="1">
    <field x="0"/>
  </rowFields>
  <rowItems count="9">
    <i>
      <x v="7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pageFields count="1">
    <pageField fld="2" hier="-1"/>
  </pageFields>
  <dataFields count="1">
    <dataField name="Soma de Tempo trabalhado (em min)" fld="3" baseField="0" baseItem="0"/>
  </dataFields>
  <formats count="12"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2" type="button" dataOnly="0" labelOnly="1" outline="0" axis="axisPage" fieldPosition="0"/>
    </format>
    <format dxfId="22">
      <pivotArea dataOnly="0" labelOnly="1" outline="0" axis="axisValues" fieldPosition="0"/>
    </format>
    <format dxfId="21">
      <pivotArea dataOnly="0" labelOnly="1" fieldPosition="0">
        <references count="1">
          <reference field="2" count="0"/>
        </references>
      </pivotArea>
    </format>
    <format dxfId="20">
      <pivotArea dataOnly="0" labelOnly="1" grandRow="1" outline="0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0" type="button" dataOnly="0" labelOnly="1" outline="0" axis="axisRow" fieldPosition="0"/>
    </format>
    <format dxfId="16">
      <pivotArea dataOnly="0" labelOnly="1" outline="0" axis="axisValues" fieldPosition="0"/>
    </format>
    <format dxfId="15">
      <pivotArea dataOnly="0" labelOnly="1" fieldPosition="0">
        <references count="1">
          <reference field="0" count="0"/>
        </references>
      </pivotArea>
    </format>
    <format dxfId="14">
      <pivotArea dataOnly="0" labelOnly="1" grandRow="1" outline="0" fieldPosition="0"/>
    </format>
  </formats>
  <chartFormats count="19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3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3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3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3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ela dinâmica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9">
  <location ref="A62:B71" firstHeaderRow="1" firstDataRow="1" firstDataCol="1" rowPageCount="1" colPageCount="1"/>
  <pivotFields count="21">
    <pivotField axis="axisRow" showAll="0">
      <items count="18">
        <item m="1" x="8"/>
        <item m="1" x="13"/>
        <item m="1" x="11"/>
        <item m="1" x="14"/>
        <item m="1" x="15"/>
        <item m="1" x="12"/>
        <item m="1" x="16"/>
        <item x="7"/>
        <item m="1" x="9"/>
        <item m="1" x="10"/>
        <item x="0"/>
        <item x="1"/>
        <item x="2"/>
        <item x="3"/>
        <item x="4"/>
        <item x="5"/>
        <item x="6"/>
        <item t="default"/>
      </items>
    </pivotField>
    <pivotField showAll="0"/>
    <pivotField axis="axisPage" multipleItemSelectionAllowed="1" showAll="0">
      <items count="39">
        <item h="1" m="1" x="16"/>
        <item h="1" m="1" x="28"/>
        <item h="1" m="1" x="14"/>
        <item m="1" x="37"/>
        <item h="1" m="1" x="18"/>
        <item h="1" m="1" x="8"/>
        <item h="1" m="1" x="7"/>
        <item h="1" m="1" x="22"/>
        <item h="1" m="1" x="9"/>
        <item h="1" m="1" x="10"/>
        <item h="1" m="1" x="19"/>
        <item x="5"/>
        <item h="1" m="1" x="6"/>
        <item h="1" m="1" x="11"/>
        <item h="1" m="1" x="12"/>
        <item m="1" x="13"/>
        <item h="1" m="1" x="15"/>
        <item h="1" m="1" x="17"/>
        <item h="1" m="1" x="20"/>
        <item h="1" m="1" x="21"/>
        <item h="1" m="1" x="23"/>
        <item h="1" m="1" x="24"/>
        <item h="1" m="1" x="25"/>
        <item h="1" m="1" x="26"/>
        <item h="1" m="1" x="27"/>
        <item h="1" m="1" x="29"/>
        <item h="1" m="1" x="30"/>
        <item h="1" m="1" x="31"/>
        <item h="1" m="1" x="32"/>
        <item h="1" m="1" x="33"/>
        <item h="1" m="1" x="34"/>
        <item h="1" m="1" x="35"/>
        <item h="1" m="1" x="36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9">
    <i>
      <x v="7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pageFields count="1">
    <pageField fld="2" hier="-1"/>
  </pageFields>
  <dataFields count="1">
    <dataField name="Soma de Tempo Gasto  porcentagem" fld="17" baseField="2" baseItem="0" numFmtId="9"/>
  </dataFields>
  <formats count="7">
    <format dxfId="32">
      <pivotArea outline="0" collapsedLevelsAreSubtotals="1" fieldPosition="0"/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0" type="button" dataOnly="0" labelOnly="1" outline="0" axis="axisRow" fieldPosition="0"/>
    </format>
    <format dxfId="28">
      <pivotArea dataOnly="0" labelOnly="1" outline="0" axis="axisValues" fieldPosition="0"/>
    </format>
    <format dxfId="27">
      <pivotArea dataOnly="0" labelOnly="1" fieldPosition="0">
        <references count="1">
          <reference field="0" count="0"/>
        </references>
      </pivotArea>
    </format>
    <format dxfId="26">
      <pivotArea dataOnly="0" labelOnly="1" grandRow="1" outline="0" fieldPosition="0"/>
    </format>
  </format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5"/>
  <sheetViews>
    <sheetView showGridLines="0" showRowColHeaders="0" tabSelected="1" zoomScale="130" zoomScaleNormal="130" workbookViewId="0">
      <selection sqref="A1:I1"/>
    </sheetView>
  </sheetViews>
  <sheetFormatPr defaultColWidth="0" defaultRowHeight="15" zeroHeight="1" x14ac:dyDescent="0.25"/>
  <cols>
    <col min="1" max="1" width="1.42578125" style="17" customWidth="1"/>
    <col min="2" max="2" width="2.42578125" style="17" customWidth="1"/>
    <col min="3" max="9" width="9" style="17" customWidth="1"/>
    <col min="10" max="16384" width="9" hidden="1"/>
  </cols>
  <sheetData>
    <row r="1" spans="1:9" ht="57.75" customHeight="1" x14ac:dyDescent="0.25">
      <c r="A1" s="71" t="s">
        <v>18</v>
      </c>
      <c r="B1" s="71"/>
      <c r="C1" s="71"/>
      <c r="D1" s="71"/>
      <c r="E1" s="71"/>
      <c r="F1" s="71"/>
      <c r="G1" s="71"/>
      <c r="H1" s="71"/>
      <c r="I1" s="71"/>
    </row>
    <row r="2" spans="1:9" x14ac:dyDescent="0.25"/>
    <row r="3" spans="1:9" x14ac:dyDescent="0.25"/>
    <row r="4" spans="1:9" x14ac:dyDescent="0.25"/>
    <row r="5" spans="1:9" x14ac:dyDescent="0.25"/>
    <row r="6" spans="1:9" ht="15.75" x14ac:dyDescent="0.25">
      <c r="A6" s="20"/>
      <c r="B6" s="19"/>
      <c r="C6" s="21" t="s">
        <v>20</v>
      </c>
    </row>
    <row r="7" spans="1:9" x14ac:dyDescent="0.25">
      <c r="A7" s="20"/>
    </row>
    <row r="8" spans="1:9" x14ac:dyDescent="0.25">
      <c r="A8" s="20"/>
    </row>
    <row r="9" spans="1:9" ht="15.75" x14ac:dyDescent="0.25">
      <c r="A9" s="20"/>
      <c r="B9" s="18"/>
      <c r="C9" s="21" t="s">
        <v>19</v>
      </c>
    </row>
    <row r="10" spans="1:9" x14ac:dyDescent="0.25"/>
    <row r="11" spans="1:9" x14ac:dyDescent="0.25"/>
    <row r="12" spans="1:9" x14ac:dyDescent="0.25"/>
    <row r="13" spans="1:9" x14ac:dyDescent="0.25"/>
    <row r="14" spans="1:9" x14ac:dyDescent="0.25"/>
    <row r="15" spans="1:9" ht="14.25" hidden="1" customHeight="1" x14ac:dyDescent="0.25"/>
  </sheetData>
  <sheetProtection sheet="1" objects="1" scenarios="1"/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1061"/>
  <sheetViews>
    <sheetView showGridLines="0" zoomScale="85" zoomScaleNormal="85" workbookViewId="0">
      <selection activeCell="A2" sqref="A2:A10"/>
    </sheetView>
  </sheetViews>
  <sheetFormatPr defaultColWidth="0" defaultRowHeight="15.75" x14ac:dyDescent="0.25"/>
  <cols>
    <col min="1" max="1" width="9" style="8" customWidth="1"/>
    <col min="2" max="2" width="11.85546875" style="8" bestFit="1" customWidth="1"/>
    <col min="3" max="3" width="28.42578125" style="8" bestFit="1" customWidth="1"/>
    <col min="4" max="4" width="22.42578125" style="8" customWidth="1"/>
    <col min="5" max="5" width="20.140625" style="8" bestFit="1" customWidth="1"/>
    <col min="6" max="6" width="2" customWidth="1"/>
    <col min="7" max="16384" width="9" hidden="1"/>
  </cols>
  <sheetData>
    <row r="1" spans="1:6" ht="32.25" thickBot="1" x14ac:dyDescent="0.3">
      <c r="A1" s="11" t="s">
        <v>5</v>
      </c>
      <c r="B1" s="11" t="s">
        <v>6</v>
      </c>
      <c r="C1" s="11" t="s">
        <v>2</v>
      </c>
      <c r="D1" s="12" t="s">
        <v>11</v>
      </c>
      <c r="E1" s="11" t="s">
        <v>7</v>
      </c>
    </row>
    <row r="2" spans="1:6" x14ac:dyDescent="0.25">
      <c r="A2" s="13" t="s">
        <v>66</v>
      </c>
      <c r="B2" s="14">
        <v>45352</v>
      </c>
      <c r="C2" s="13" t="s">
        <v>45</v>
      </c>
      <c r="D2" s="15">
        <v>10</v>
      </c>
      <c r="E2" s="13" t="s">
        <v>8</v>
      </c>
    </row>
    <row r="3" spans="1:6" x14ac:dyDescent="0.25">
      <c r="A3" s="8" t="s">
        <v>67</v>
      </c>
      <c r="B3" s="9">
        <v>45353</v>
      </c>
      <c r="C3" s="8" t="s">
        <v>46</v>
      </c>
      <c r="D3" s="10">
        <v>20</v>
      </c>
      <c r="E3" s="8" t="s">
        <v>9</v>
      </c>
      <c r="F3" s="9"/>
    </row>
    <row r="4" spans="1:6" x14ac:dyDescent="0.25">
      <c r="A4" s="13" t="s">
        <v>68</v>
      </c>
      <c r="B4" s="14">
        <v>45354</v>
      </c>
      <c r="C4" s="13" t="s">
        <v>47</v>
      </c>
      <c r="D4" s="15">
        <v>30</v>
      </c>
      <c r="E4" s="13" t="s">
        <v>74</v>
      </c>
    </row>
    <row r="5" spans="1:6" x14ac:dyDescent="0.25">
      <c r="A5" s="8" t="s">
        <v>69</v>
      </c>
      <c r="B5" s="9">
        <v>45355</v>
      </c>
      <c r="C5" s="8" t="s">
        <v>48</v>
      </c>
      <c r="D5" s="10">
        <v>40</v>
      </c>
    </row>
    <row r="6" spans="1:6" x14ac:dyDescent="0.25">
      <c r="A6" s="13" t="s">
        <v>70</v>
      </c>
      <c r="B6" s="14">
        <v>45356</v>
      </c>
      <c r="C6" s="13" t="s">
        <v>49</v>
      </c>
      <c r="D6" s="15">
        <v>50</v>
      </c>
      <c r="E6" s="13"/>
    </row>
    <row r="7" spans="1:6" x14ac:dyDescent="0.25">
      <c r="A7" s="8" t="s">
        <v>71</v>
      </c>
      <c r="B7" s="9">
        <v>45357</v>
      </c>
      <c r="C7" s="8" t="s">
        <v>50</v>
      </c>
      <c r="D7" s="10">
        <v>60</v>
      </c>
    </row>
    <row r="8" spans="1:6" x14ac:dyDescent="0.25">
      <c r="A8" s="13" t="s">
        <v>10</v>
      </c>
      <c r="B8" s="14">
        <v>45358</v>
      </c>
      <c r="C8" s="13" t="s">
        <v>51</v>
      </c>
      <c r="D8" s="15">
        <v>70</v>
      </c>
      <c r="E8" s="13"/>
    </row>
    <row r="9" spans="1:6" x14ac:dyDescent="0.25">
      <c r="A9" s="8" t="s">
        <v>72</v>
      </c>
      <c r="B9" s="9">
        <v>45359</v>
      </c>
      <c r="C9" s="8" t="s">
        <v>52</v>
      </c>
      <c r="D9" s="10">
        <v>80</v>
      </c>
    </row>
    <row r="10" spans="1:6" x14ac:dyDescent="0.25">
      <c r="A10" s="13" t="s">
        <v>73</v>
      </c>
      <c r="B10" s="14">
        <v>45360</v>
      </c>
      <c r="C10" s="13" t="s">
        <v>53</v>
      </c>
      <c r="D10" s="15">
        <v>90</v>
      </c>
      <c r="E10" s="13"/>
    </row>
    <row r="11" spans="1:6" x14ac:dyDescent="0.25">
      <c r="B11" s="9">
        <v>45361</v>
      </c>
      <c r="C11" s="8" t="s">
        <v>54</v>
      </c>
      <c r="D11" s="10">
        <v>100</v>
      </c>
    </row>
    <row r="12" spans="1:6" x14ac:dyDescent="0.25">
      <c r="A12" s="13"/>
      <c r="B12" s="14">
        <v>45362</v>
      </c>
      <c r="C12" s="13" t="s">
        <v>55</v>
      </c>
      <c r="D12" s="15">
        <v>110</v>
      </c>
      <c r="E12" s="13"/>
    </row>
    <row r="13" spans="1:6" x14ac:dyDescent="0.25">
      <c r="B13" s="9">
        <v>45363</v>
      </c>
      <c r="C13" s="8" t="s">
        <v>56</v>
      </c>
      <c r="D13" s="10">
        <v>120</v>
      </c>
    </row>
    <row r="14" spans="1:6" x14ac:dyDescent="0.25">
      <c r="A14" s="13"/>
      <c r="B14" s="14">
        <v>45364</v>
      </c>
      <c r="C14" s="13" t="s">
        <v>57</v>
      </c>
      <c r="D14" s="15">
        <v>130</v>
      </c>
      <c r="E14" s="13"/>
    </row>
    <row r="15" spans="1:6" x14ac:dyDescent="0.25">
      <c r="B15" s="9">
        <v>45365</v>
      </c>
      <c r="C15" s="8" t="s">
        <v>58</v>
      </c>
      <c r="D15" s="10">
        <v>140</v>
      </c>
    </row>
    <row r="16" spans="1:6" x14ac:dyDescent="0.25">
      <c r="A16" s="13"/>
      <c r="B16" s="14">
        <v>45366</v>
      </c>
      <c r="C16" s="13" t="s">
        <v>59</v>
      </c>
      <c r="D16" s="15">
        <v>150</v>
      </c>
      <c r="E16" s="13"/>
    </row>
    <row r="17" spans="1:5" x14ac:dyDescent="0.25">
      <c r="B17" s="9">
        <v>45367</v>
      </c>
      <c r="C17" s="8" t="s">
        <v>60</v>
      </c>
      <c r="D17" s="10">
        <v>160</v>
      </c>
    </row>
    <row r="18" spans="1:5" x14ac:dyDescent="0.25">
      <c r="A18" s="13"/>
      <c r="B18" s="14">
        <v>45368</v>
      </c>
      <c r="C18" s="13" t="s">
        <v>61</v>
      </c>
      <c r="D18" s="15">
        <v>170</v>
      </c>
      <c r="E18" s="13"/>
    </row>
    <row r="19" spans="1:5" x14ac:dyDescent="0.25">
      <c r="B19" s="9">
        <v>45369</v>
      </c>
      <c r="C19" s="8" t="s">
        <v>62</v>
      </c>
      <c r="D19" s="10">
        <v>180</v>
      </c>
    </row>
    <row r="20" spans="1:5" x14ac:dyDescent="0.25">
      <c r="A20" s="13"/>
      <c r="B20" s="14">
        <v>45370</v>
      </c>
      <c r="C20" s="13" t="s">
        <v>63</v>
      </c>
      <c r="D20" s="15">
        <v>190</v>
      </c>
      <c r="E20" s="13"/>
    </row>
    <row r="21" spans="1:5" x14ac:dyDescent="0.25">
      <c r="B21" s="9">
        <v>45371</v>
      </c>
      <c r="C21" s="8" t="s">
        <v>64</v>
      </c>
      <c r="D21" s="10">
        <v>200</v>
      </c>
    </row>
    <row r="22" spans="1:5" x14ac:dyDescent="0.25">
      <c r="A22" s="13"/>
      <c r="B22" s="14">
        <v>45372</v>
      </c>
      <c r="C22" s="13" t="s">
        <v>65</v>
      </c>
      <c r="D22" s="15">
        <v>210</v>
      </c>
      <c r="E22" s="13"/>
    </row>
    <row r="23" spans="1:5" x14ac:dyDescent="0.25">
      <c r="B23" s="9">
        <v>45373</v>
      </c>
      <c r="D23" s="10">
        <v>220</v>
      </c>
    </row>
    <row r="24" spans="1:5" x14ac:dyDescent="0.25">
      <c r="A24" s="13"/>
      <c r="B24" s="14">
        <v>45374</v>
      </c>
      <c r="C24" s="13"/>
      <c r="D24" s="15">
        <v>230</v>
      </c>
      <c r="E24" s="13"/>
    </row>
    <row r="25" spans="1:5" x14ac:dyDescent="0.25">
      <c r="B25" s="9">
        <v>45375</v>
      </c>
      <c r="D25" s="10">
        <v>240</v>
      </c>
    </row>
    <row r="26" spans="1:5" x14ac:dyDescent="0.25">
      <c r="A26" s="13"/>
      <c r="B26" s="14">
        <v>45376</v>
      </c>
      <c r="C26" s="13"/>
      <c r="D26" s="15">
        <v>250</v>
      </c>
      <c r="E26" s="13"/>
    </row>
    <row r="27" spans="1:5" x14ac:dyDescent="0.25">
      <c r="B27" s="9">
        <v>45377</v>
      </c>
      <c r="D27" s="10">
        <v>260</v>
      </c>
    </row>
    <row r="28" spans="1:5" x14ac:dyDescent="0.25">
      <c r="A28" s="13"/>
      <c r="B28" s="14">
        <v>45378</v>
      </c>
      <c r="C28" s="13"/>
      <c r="D28" s="15">
        <v>270</v>
      </c>
      <c r="E28" s="13"/>
    </row>
    <row r="29" spans="1:5" x14ac:dyDescent="0.25">
      <c r="B29" s="9">
        <v>45379</v>
      </c>
      <c r="D29" s="10">
        <v>280</v>
      </c>
    </row>
    <row r="30" spans="1:5" x14ac:dyDescent="0.25">
      <c r="A30" s="13"/>
      <c r="B30" s="14">
        <v>45380</v>
      </c>
      <c r="C30" s="13"/>
      <c r="D30" s="15">
        <v>290</v>
      </c>
      <c r="E30" s="13"/>
    </row>
    <row r="31" spans="1:5" x14ac:dyDescent="0.25">
      <c r="B31" s="9">
        <v>45381</v>
      </c>
      <c r="D31" s="10">
        <v>300</v>
      </c>
    </row>
    <row r="32" spans="1:5" x14ac:dyDescent="0.25">
      <c r="A32" s="13"/>
      <c r="B32" s="14">
        <v>45382</v>
      </c>
      <c r="C32" s="13"/>
      <c r="D32" s="15">
        <v>310</v>
      </c>
      <c r="E32" s="13"/>
    </row>
    <row r="33" spans="1:5" x14ac:dyDescent="0.25">
      <c r="B33" s="9">
        <v>45383</v>
      </c>
      <c r="D33" s="10">
        <v>320</v>
      </c>
    </row>
    <row r="34" spans="1:5" x14ac:dyDescent="0.25">
      <c r="A34" s="13"/>
      <c r="B34" s="14">
        <v>45384</v>
      </c>
      <c r="C34" s="13"/>
      <c r="D34" s="15">
        <v>330</v>
      </c>
      <c r="E34" s="13"/>
    </row>
    <row r="35" spans="1:5" x14ac:dyDescent="0.25">
      <c r="B35" s="9">
        <v>45385</v>
      </c>
      <c r="D35" s="10">
        <v>340</v>
      </c>
    </row>
    <row r="36" spans="1:5" x14ac:dyDescent="0.25">
      <c r="A36" s="13"/>
      <c r="B36" s="14">
        <v>45386</v>
      </c>
      <c r="C36" s="13"/>
      <c r="D36" s="15">
        <v>350</v>
      </c>
      <c r="E36" s="13"/>
    </row>
    <row r="37" spans="1:5" x14ac:dyDescent="0.25">
      <c r="B37" s="9">
        <v>45387</v>
      </c>
      <c r="D37" s="10">
        <v>360</v>
      </c>
    </row>
    <row r="38" spans="1:5" x14ac:dyDescent="0.25">
      <c r="A38" s="13"/>
      <c r="B38" s="14">
        <v>45388</v>
      </c>
      <c r="C38" s="13"/>
      <c r="D38" s="15">
        <v>370</v>
      </c>
      <c r="E38" s="13"/>
    </row>
    <row r="39" spans="1:5" x14ac:dyDescent="0.25">
      <c r="B39" s="9">
        <v>45389</v>
      </c>
      <c r="D39" s="10">
        <v>380</v>
      </c>
    </row>
    <row r="40" spans="1:5" x14ac:dyDescent="0.25">
      <c r="A40" s="13"/>
      <c r="B40" s="14">
        <v>45390</v>
      </c>
      <c r="C40" s="13"/>
      <c r="D40" s="15">
        <v>390</v>
      </c>
      <c r="E40" s="13"/>
    </row>
    <row r="41" spans="1:5" x14ac:dyDescent="0.25">
      <c r="B41" s="9">
        <v>45391</v>
      </c>
      <c r="D41" s="10">
        <v>400</v>
      </c>
    </row>
    <row r="42" spans="1:5" x14ac:dyDescent="0.25">
      <c r="A42" s="13"/>
      <c r="B42" s="14">
        <v>45392</v>
      </c>
      <c r="C42" s="13"/>
      <c r="D42" s="15">
        <v>410</v>
      </c>
      <c r="E42" s="13"/>
    </row>
    <row r="43" spans="1:5" x14ac:dyDescent="0.25">
      <c r="B43" s="9">
        <v>45393</v>
      </c>
      <c r="D43" s="10">
        <v>420</v>
      </c>
    </row>
    <row r="44" spans="1:5" x14ac:dyDescent="0.25">
      <c r="A44" s="13"/>
      <c r="B44" s="14">
        <v>45394</v>
      </c>
      <c r="C44" s="13"/>
      <c r="D44" s="15">
        <v>430</v>
      </c>
      <c r="E44" s="13"/>
    </row>
    <row r="45" spans="1:5" x14ac:dyDescent="0.25">
      <c r="B45" s="9">
        <v>45395</v>
      </c>
      <c r="D45" s="10">
        <v>440</v>
      </c>
    </row>
    <row r="46" spans="1:5" x14ac:dyDescent="0.25">
      <c r="A46" s="13"/>
      <c r="B46" s="14">
        <v>45396</v>
      </c>
      <c r="C46" s="13"/>
      <c r="D46" s="15">
        <v>450</v>
      </c>
      <c r="E46" s="13"/>
    </row>
    <row r="47" spans="1:5" x14ac:dyDescent="0.25">
      <c r="B47" s="9">
        <v>45397</v>
      </c>
      <c r="D47" s="10"/>
    </row>
    <row r="48" spans="1:5" x14ac:dyDescent="0.25">
      <c r="A48" s="13"/>
      <c r="B48" s="14">
        <v>45398</v>
      </c>
      <c r="C48" s="13"/>
      <c r="D48" s="15"/>
      <c r="E48" s="13"/>
    </row>
    <row r="49" spans="1:5" x14ac:dyDescent="0.25">
      <c r="B49" s="9">
        <v>45399</v>
      </c>
      <c r="D49" s="10"/>
    </row>
    <row r="50" spans="1:5" x14ac:dyDescent="0.25">
      <c r="A50" s="13"/>
      <c r="B50" s="14">
        <v>45400</v>
      </c>
      <c r="C50" s="13"/>
      <c r="D50" s="15"/>
      <c r="E50" s="13"/>
    </row>
    <row r="51" spans="1:5" x14ac:dyDescent="0.25">
      <c r="B51" s="9">
        <v>45401</v>
      </c>
      <c r="D51" s="10"/>
    </row>
    <row r="52" spans="1:5" x14ac:dyDescent="0.25">
      <c r="A52" s="13"/>
      <c r="B52" s="14">
        <v>45402</v>
      </c>
      <c r="C52" s="13"/>
      <c r="D52" s="15"/>
      <c r="E52" s="13"/>
    </row>
    <row r="53" spans="1:5" x14ac:dyDescent="0.25">
      <c r="B53" s="9">
        <v>45403</v>
      </c>
      <c r="D53" s="10"/>
    </row>
    <row r="54" spans="1:5" x14ac:dyDescent="0.25">
      <c r="A54" s="13"/>
      <c r="B54" s="14">
        <v>45404</v>
      </c>
      <c r="C54" s="13"/>
      <c r="D54" s="15"/>
      <c r="E54" s="13"/>
    </row>
    <row r="55" spans="1:5" x14ac:dyDescent="0.25">
      <c r="B55" s="9">
        <v>45405</v>
      </c>
      <c r="D55" s="10"/>
    </row>
    <row r="56" spans="1:5" x14ac:dyDescent="0.25">
      <c r="A56" s="13"/>
      <c r="B56" s="14">
        <v>45406</v>
      </c>
      <c r="C56" s="13"/>
      <c r="D56" s="15"/>
      <c r="E56" s="13"/>
    </row>
    <row r="57" spans="1:5" x14ac:dyDescent="0.25">
      <c r="B57" s="9">
        <v>45407</v>
      </c>
      <c r="D57" s="10"/>
    </row>
    <row r="58" spans="1:5" x14ac:dyDescent="0.25">
      <c r="A58" s="13"/>
      <c r="B58" s="14">
        <v>45408</v>
      </c>
      <c r="C58" s="13"/>
      <c r="D58" s="15"/>
      <c r="E58" s="13"/>
    </row>
    <row r="59" spans="1:5" x14ac:dyDescent="0.25">
      <c r="B59" s="9">
        <v>45409</v>
      </c>
      <c r="D59" s="10"/>
    </row>
    <row r="60" spans="1:5" x14ac:dyDescent="0.25">
      <c r="A60" s="13"/>
      <c r="B60" s="14">
        <v>45410</v>
      </c>
      <c r="C60" s="13"/>
      <c r="D60" s="15"/>
      <c r="E60" s="13"/>
    </row>
    <row r="61" spans="1:5" x14ac:dyDescent="0.25">
      <c r="B61" s="9">
        <v>45411</v>
      </c>
      <c r="D61" s="10"/>
    </row>
    <row r="62" spans="1:5" x14ac:dyDescent="0.25">
      <c r="A62" s="13"/>
      <c r="B62" s="14">
        <v>45412</v>
      </c>
      <c r="C62" s="13"/>
      <c r="D62" s="15"/>
      <c r="E62" s="13"/>
    </row>
    <row r="63" spans="1:5" x14ac:dyDescent="0.25">
      <c r="B63" s="9">
        <v>45413</v>
      </c>
      <c r="D63" s="10"/>
    </row>
    <row r="64" spans="1:5" x14ac:dyDescent="0.25">
      <c r="A64" s="13"/>
      <c r="B64" s="14">
        <v>45414</v>
      </c>
      <c r="C64" s="13"/>
      <c r="D64" s="15"/>
      <c r="E64" s="13"/>
    </row>
    <row r="65" spans="1:5" x14ac:dyDescent="0.25">
      <c r="B65" s="9">
        <v>45415</v>
      </c>
      <c r="D65" s="10"/>
    </row>
    <row r="66" spans="1:5" x14ac:dyDescent="0.25">
      <c r="A66" s="13"/>
      <c r="B66" s="14">
        <v>45416</v>
      </c>
      <c r="C66" s="13"/>
      <c r="D66" s="15"/>
      <c r="E66" s="13"/>
    </row>
    <row r="67" spans="1:5" x14ac:dyDescent="0.25">
      <c r="B67" s="9">
        <v>45417</v>
      </c>
      <c r="D67" s="10"/>
    </row>
    <row r="68" spans="1:5" x14ac:dyDescent="0.25">
      <c r="A68" s="13"/>
      <c r="B68" s="14">
        <v>45418</v>
      </c>
      <c r="C68" s="13"/>
      <c r="D68" s="15"/>
      <c r="E68" s="13"/>
    </row>
    <row r="69" spans="1:5" x14ac:dyDescent="0.25">
      <c r="B69" s="9">
        <v>45419</v>
      </c>
      <c r="D69" s="10"/>
    </row>
    <row r="70" spans="1:5" x14ac:dyDescent="0.25">
      <c r="A70" s="13"/>
      <c r="B70" s="14">
        <v>45420</v>
      </c>
      <c r="C70" s="13"/>
      <c r="D70" s="15"/>
      <c r="E70" s="13"/>
    </row>
    <row r="71" spans="1:5" x14ac:dyDescent="0.25">
      <c r="B71" s="9">
        <v>45421</v>
      </c>
      <c r="D71" s="10"/>
    </row>
    <row r="72" spans="1:5" x14ac:dyDescent="0.25">
      <c r="A72" s="13"/>
      <c r="B72" s="14">
        <v>45422</v>
      </c>
      <c r="C72" s="13"/>
      <c r="D72" s="15"/>
      <c r="E72" s="13"/>
    </row>
    <row r="73" spans="1:5" x14ac:dyDescent="0.25">
      <c r="B73" s="9">
        <v>45423</v>
      </c>
      <c r="D73" s="10"/>
    </row>
    <row r="74" spans="1:5" x14ac:dyDescent="0.25">
      <c r="A74" s="13"/>
      <c r="B74" s="14">
        <v>45424</v>
      </c>
      <c r="C74" s="13"/>
      <c r="D74" s="15"/>
      <c r="E74" s="13"/>
    </row>
    <row r="75" spans="1:5" x14ac:dyDescent="0.25">
      <c r="B75" s="9">
        <v>45425</v>
      </c>
      <c r="D75" s="10"/>
    </row>
    <row r="76" spans="1:5" x14ac:dyDescent="0.25">
      <c r="A76" s="13"/>
      <c r="B76" s="14">
        <v>45426</v>
      </c>
      <c r="C76" s="13"/>
      <c r="D76" s="15"/>
      <c r="E76" s="13"/>
    </row>
    <row r="77" spans="1:5" x14ac:dyDescent="0.25">
      <c r="B77" s="9">
        <v>45427</v>
      </c>
      <c r="D77" s="10"/>
    </row>
    <row r="78" spans="1:5" x14ac:dyDescent="0.25">
      <c r="A78" s="13"/>
      <c r="B78" s="14">
        <v>45428</v>
      </c>
      <c r="C78" s="13"/>
      <c r="D78" s="15"/>
      <c r="E78" s="13"/>
    </row>
    <row r="79" spans="1:5" x14ac:dyDescent="0.25">
      <c r="B79" s="9">
        <v>45429</v>
      </c>
      <c r="D79" s="10"/>
    </row>
    <row r="80" spans="1:5" x14ac:dyDescent="0.25">
      <c r="A80" s="13"/>
      <c r="B80" s="14">
        <v>45430</v>
      </c>
      <c r="C80" s="13"/>
      <c r="D80" s="15"/>
      <c r="E80" s="13"/>
    </row>
    <row r="81" spans="1:5" x14ac:dyDescent="0.25">
      <c r="B81" s="9">
        <v>45431</v>
      </c>
      <c r="D81" s="10"/>
    </row>
    <row r="82" spans="1:5" x14ac:dyDescent="0.25">
      <c r="A82" s="13"/>
      <c r="B82" s="14">
        <v>45432</v>
      </c>
      <c r="C82" s="13"/>
      <c r="D82" s="15"/>
      <c r="E82" s="13"/>
    </row>
    <row r="83" spans="1:5" x14ac:dyDescent="0.25">
      <c r="B83" s="9">
        <v>45433</v>
      </c>
      <c r="D83" s="10"/>
    </row>
    <row r="84" spans="1:5" x14ac:dyDescent="0.25">
      <c r="A84" s="13"/>
      <c r="B84" s="14">
        <v>45434</v>
      </c>
      <c r="C84" s="13"/>
      <c r="D84" s="15"/>
      <c r="E84" s="13"/>
    </row>
    <row r="85" spans="1:5" x14ac:dyDescent="0.25">
      <c r="B85" s="9">
        <v>45435</v>
      </c>
      <c r="D85" s="10"/>
    </row>
    <row r="86" spans="1:5" x14ac:dyDescent="0.25">
      <c r="A86" s="13"/>
      <c r="B86" s="14">
        <v>45436</v>
      </c>
      <c r="C86" s="13"/>
      <c r="D86" s="15"/>
      <c r="E86" s="13"/>
    </row>
    <row r="87" spans="1:5" x14ac:dyDescent="0.25">
      <c r="B87" s="9">
        <v>45437</v>
      </c>
      <c r="D87" s="10"/>
    </row>
    <row r="88" spans="1:5" x14ac:dyDescent="0.25">
      <c r="A88" s="13"/>
      <c r="B88" s="14">
        <v>45438</v>
      </c>
      <c r="C88" s="13"/>
      <c r="D88" s="15"/>
      <c r="E88" s="13"/>
    </row>
    <row r="89" spans="1:5" x14ac:dyDescent="0.25">
      <c r="B89" s="9">
        <v>45439</v>
      </c>
      <c r="D89" s="10"/>
    </row>
    <row r="90" spans="1:5" x14ac:dyDescent="0.25">
      <c r="A90" s="13"/>
      <c r="B90" s="14">
        <v>45440</v>
      </c>
      <c r="C90" s="13"/>
      <c r="D90" s="15"/>
      <c r="E90" s="13"/>
    </row>
    <row r="91" spans="1:5" x14ac:dyDescent="0.25">
      <c r="B91" s="9">
        <v>45441</v>
      </c>
      <c r="D91" s="10"/>
    </row>
    <row r="92" spans="1:5" x14ac:dyDescent="0.25">
      <c r="A92" s="13"/>
      <c r="B92" s="14">
        <v>45442</v>
      </c>
      <c r="C92" s="13"/>
      <c r="D92" s="15"/>
      <c r="E92" s="13"/>
    </row>
    <row r="93" spans="1:5" x14ac:dyDescent="0.25">
      <c r="B93" s="9">
        <v>45443</v>
      </c>
      <c r="D93" s="10"/>
    </row>
    <row r="94" spans="1:5" x14ac:dyDescent="0.25">
      <c r="A94" s="13"/>
      <c r="B94" s="14">
        <v>45444</v>
      </c>
      <c r="C94" s="13"/>
      <c r="D94" s="15"/>
      <c r="E94" s="13"/>
    </row>
    <row r="95" spans="1:5" x14ac:dyDescent="0.25">
      <c r="B95" s="9">
        <v>45445</v>
      </c>
      <c r="D95" s="10"/>
    </row>
    <row r="96" spans="1:5" x14ac:dyDescent="0.25">
      <c r="A96" s="13"/>
      <c r="B96" s="14">
        <v>45446</v>
      </c>
      <c r="C96" s="13"/>
      <c r="D96" s="15"/>
      <c r="E96" s="13"/>
    </row>
    <row r="97" spans="1:5" x14ac:dyDescent="0.25">
      <c r="B97" s="9">
        <v>45447</v>
      </c>
      <c r="D97" s="10"/>
    </row>
    <row r="98" spans="1:5" x14ac:dyDescent="0.25">
      <c r="A98" s="13"/>
      <c r="B98" s="14">
        <v>45448</v>
      </c>
      <c r="C98" s="13"/>
      <c r="D98" s="15"/>
      <c r="E98" s="13"/>
    </row>
    <row r="99" spans="1:5" x14ac:dyDescent="0.25">
      <c r="B99" s="9">
        <v>45449</v>
      </c>
      <c r="D99" s="10"/>
    </row>
    <row r="100" spans="1:5" x14ac:dyDescent="0.25">
      <c r="A100" s="13"/>
      <c r="B100" s="14">
        <v>45450</v>
      </c>
      <c r="C100" s="13"/>
      <c r="D100" s="15"/>
      <c r="E100" s="13"/>
    </row>
    <row r="101" spans="1:5" x14ac:dyDescent="0.25">
      <c r="B101" s="9">
        <v>45451</v>
      </c>
      <c r="D101" s="10"/>
    </row>
    <row r="102" spans="1:5" x14ac:dyDescent="0.25">
      <c r="A102" s="13"/>
      <c r="B102" s="14">
        <v>45452</v>
      </c>
      <c r="C102" s="13"/>
      <c r="D102" s="15"/>
      <c r="E102" s="13"/>
    </row>
    <row r="103" spans="1:5" x14ac:dyDescent="0.25">
      <c r="B103" s="9">
        <v>45453</v>
      </c>
      <c r="D103" s="10"/>
    </row>
    <row r="104" spans="1:5" x14ac:dyDescent="0.25">
      <c r="A104" s="13"/>
      <c r="B104" s="14">
        <v>45454</v>
      </c>
      <c r="C104" s="13"/>
      <c r="D104" s="15"/>
      <c r="E104" s="13"/>
    </row>
    <row r="105" spans="1:5" x14ac:dyDescent="0.25">
      <c r="B105" s="9">
        <v>45455</v>
      </c>
      <c r="D105" s="10"/>
    </row>
    <row r="106" spans="1:5" x14ac:dyDescent="0.25">
      <c r="A106" s="13"/>
      <c r="B106" s="14">
        <v>45456</v>
      </c>
      <c r="C106" s="13"/>
      <c r="D106" s="15"/>
      <c r="E106" s="13"/>
    </row>
    <row r="107" spans="1:5" x14ac:dyDescent="0.25">
      <c r="B107" s="9">
        <v>45457</v>
      </c>
      <c r="D107" s="10"/>
    </row>
    <row r="108" spans="1:5" x14ac:dyDescent="0.25">
      <c r="A108" s="13"/>
      <c r="B108" s="14">
        <v>45458</v>
      </c>
      <c r="C108" s="13"/>
      <c r="D108" s="15"/>
      <c r="E108" s="13"/>
    </row>
    <row r="109" spans="1:5" x14ac:dyDescent="0.25">
      <c r="B109" s="9">
        <v>45459</v>
      </c>
      <c r="D109" s="10"/>
    </row>
    <row r="110" spans="1:5" x14ac:dyDescent="0.25">
      <c r="A110" s="13"/>
      <c r="B110" s="14">
        <v>45460</v>
      </c>
      <c r="C110" s="13"/>
      <c r="D110" s="15"/>
      <c r="E110" s="13"/>
    </row>
    <row r="111" spans="1:5" x14ac:dyDescent="0.25">
      <c r="B111" s="9">
        <v>45461</v>
      </c>
      <c r="D111" s="10"/>
    </row>
    <row r="112" spans="1:5" x14ac:dyDescent="0.25">
      <c r="A112" s="13"/>
      <c r="B112" s="14">
        <v>45462</v>
      </c>
      <c r="C112" s="13"/>
      <c r="D112" s="15"/>
      <c r="E112" s="13"/>
    </row>
    <row r="113" spans="1:5" x14ac:dyDescent="0.25">
      <c r="B113" s="9">
        <v>45463</v>
      </c>
      <c r="D113" s="10"/>
    </row>
    <row r="114" spans="1:5" x14ac:dyDescent="0.25">
      <c r="A114" s="13"/>
      <c r="B114" s="14">
        <v>45464</v>
      </c>
      <c r="C114" s="13"/>
      <c r="D114" s="15"/>
      <c r="E114" s="13"/>
    </row>
    <row r="115" spans="1:5" x14ac:dyDescent="0.25">
      <c r="B115" s="9">
        <v>45465</v>
      </c>
      <c r="D115" s="10"/>
    </row>
    <row r="116" spans="1:5" x14ac:dyDescent="0.25">
      <c r="A116" s="13"/>
      <c r="B116" s="14">
        <v>45466</v>
      </c>
      <c r="C116" s="13"/>
      <c r="D116" s="15"/>
      <c r="E116" s="13"/>
    </row>
    <row r="117" spans="1:5" x14ac:dyDescent="0.25">
      <c r="B117" s="9">
        <v>45467</v>
      </c>
      <c r="D117" s="10"/>
    </row>
    <row r="118" spans="1:5" x14ac:dyDescent="0.25">
      <c r="A118" s="13"/>
      <c r="B118" s="14">
        <v>45468</v>
      </c>
      <c r="C118" s="13"/>
      <c r="D118" s="15"/>
      <c r="E118" s="13"/>
    </row>
    <row r="119" spans="1:5" x14ac:dyDescent="0.25">
      <c r="B119" s="9">
        <v>45469</v>
      </c>
      <c r="D119" s="10"/>
    </row>
    <row r="120" spans="1:5" x14ac:dyDescent="0.25">
      <c r="A120" s="13"/>
      <c r="B120" s="14">
        <v>45470</v>
      </c>
      <c r="C120" s="13"/>
      <c r="D120" s="15"/>
      <c r="E120" s="13"/>
    </row>
    <row r="121" spans="1:5" x14ac:dyDescent="0.25">
      <c r="B121" s="9">
        <v>45471</v>
      </c>
      <c r="D121" s="10"/>
    </row>
    <row r="122" spans="1:5" x14ac:dyDescent="0.25">
      <c r="A122" s="13"/>
      <c r="B122" s="14">
        <v>45472</v>
      </c>
      <c r="C122" s="13"/>
      <c r="D122" s="15"/>
      <c r="E122" s="13"/>
    </row>
    <row r="123" spans="1:5" x14ac:dyDescent="0.25">
      <c r="B123" s="9">
        <v>45473</v>
      </c>
      <c r="D123" s="10"/>
    </row>
    <row r="124" spans="1:5" x14ac:dyDescent="0.25">
      <c r="A124" s="13"/>
      <c r="B124" s="14">
        <v>45474</v>
      </c>
      <c r="C124" s="13"/>
      <c r="D124" s="15"/>
      <c r="E124" s="13"/>
    </row>
    <row r="125" spans="1:5" x14ac:dyDescent="0.25">
      <c r="B125" s="9">
        <v>45475</v>
      </c>
      <c r="D125" s="10"/>
    </row>
    <row r="126" spans="1:5" x14ac:dyDescent="0.25">
      <c r="A126" s="13"/>
      <c r="B126" s="14">
        <v>45476</v>
      </c>
      <c r="C126" s="13"/>
      <c r="D126" s="15"/>
      <c r="E126" s="13"/>
    </row>
    <row r="127" spans="1:5" x14ac:dyDescent="0.25">
      <c r="B127" s="9">
        <v>45477</v>
      </c>
      <c r="D127" s="10"/>
    </row>
    <row r="128" spans="1:5" x14ac:dyDescent="0.25">
      <c r="A128" s="13"/>
      <c r="B128" s="14">
        <v>45478</v>
      </c>
      <c r="C128" s="13"/>
      <c r="D128" s="15"/>
      <c r="E128" s="13"/>
    </row>
    <row r="129" spans="1:5" x14ac:dyDescent="0.25">
      <c r="B129" s="9">
        <v>45479</v>
      </c>
      <c r="D129" s="10"/>
    </row>
    <row r="130" spans="1:5" x14ac:dyDescent="0.25">
      <c r="A130" s="13"/>
      <c r="B130" s="14">
        <v>45480</v>
      </c>
      <c r="C130" s="13"/>
      <c r="D130" s="15"/>
      <c r="E130" s="13"/>
    </row>
    <row r="131" spans="1:5" x14ac:dyDescent="0.25">
      <c r="B131" s="9">
        <v>45481</v>
      </c>
      <c r="D131" s="10"/>
    </row>
    <row r="132" spans="1:5" x14ac:dyDescent="0.25">
      <c r="A132" s="13"/>
      <c r="B132" s="14">
        <v>45482</v>
      </c>
      <c r="C132" s="13"/>
      <c r="D132" s="15"/>
      <c r="E132" s="13"/>
    </row>
    <row r="133" spans="1:5" x14ac:dyDescent="0.25">
      <c r="B133" s="9">
        <v>45483</v>
      </c>
      <c r="D133" s="10"/>
    </row>
    <row r="134" spans="1:5" x14ac:dyDescent="0.25">
      <c r="A134" s="13"/>
      <c r="B134" s="14">
        <v>45484</v>
      </c>
      <c r="C134" s="13"/>
      <c r="D134" s="15"/>
      <c r="E134" s="13"/>
    </row>
    <row r="135" spans="1:5" x14ac:dyDescent="0.25">
      <c r="B135" s="9">
        <v>45485</v>
      </c>
      <c r="D135" s="10"/>
    </row>
    <row r="136" spans="1:5" x14ac:dyDescent="0.25">
      <c r="A136" s="13"/>
      <c r="B136" s="14">
        <v>45486</v>
      </c>
      <c r="C136" s="13"/>
      <c r="D136" s="15"/>
      <c r="E136" s="13"/>
    </row>
    <row r="137" spans="1:5" x14ac:dyDescent="0.25">
      <c r="B137" s="9">
        <v>45487</v>
      </c>
      <c r="D137" s="10"/>
    </row>
    <row r="138" spans="1:5" x14ac:dyDescent="0.25">
      <c r="A138" s="13"/>
      <c r="B138" s="14">
        <v>45488</v>
      </c>
      <c r="C138" s="13"/>
      <c r="D138" s="15"/>
      <c r="E138" s="13"/>
    </row>
    <row r="139" spans="1:5" x14ac:dyDescent="0.25">
      <c r="B139" s="9">
        <v>45489</v>
      </c>
      <c r="D139" s="10"/>
    </row>
    <row r="140" spans="1:5" x14ac:dyDescent="0.25">
      <c r="A140" s="13"/>
      <c r="B140" s="14">
        <v>45490</v>
      </c>
      <c r="C140" s="13"/>
      <c r="D140" s="15"/>
      <c r="E140" s="13"/>
    </row>
    <row r="141" spans="1:5" x14ac:dyDescent="0.25">
      <c r="B141" s="9">
        <v>45491</v>
      </c>
      <c r="D141" s="10"/>
    </row>
    <row r="142" spans="1:5" x14ac:dyDescent="0.25">
      <c r="A142" s="13"/>
      <c r="B142" s="14">
        <v>45492</v>
      </c>
      <c r="C142" s="13"/>
      <c r="D142" s="15"/>
      <c r="E142" s="13"/>
    </row>
    <row r="143" spans="1:5" x14ac:dyDescent="0.25">
      <c r="B143" s="9">
        <v>45493</v>
      </c>
      <c r="D143" s="10"/>
    </row>
    <row r="144" spans="1:5" x14ac:dyDescent="0.25">
      <c r="A144" s="13"/>
      <c r="B144" s="14">
        <v>45494</v>
      </c>
      <c r="C144" s="13"/>
      <c r="D144" s="15"/>
      <c r="E144" s="13"/>
    </row>
    <row r="145" spans="1:5" x14ac:dyDescent="0.25">
      <c r="B145" s="9">
        <v>45495</v>
      </c>
      <c r="D145" s="10"/>
    </row>
    <row r="146" spans="1:5" x14ac:dyDescent="0.25">
      <c r="A146" s="13"/>
      <c r="B146" s="14">
        <v>45496</v>
      </c>
      <c r="C146" s="13"/>
      <c r="D146" s="15"/>
      <c r="E146" s="13"/>
    </row>
    <row r="147" spans="1:5" x14ac:dyDescent="0.25">
      <c r="B147" s="9">
        <v>45497</v>
      </c>
      <c r="D147" s="10"/>
    </row>
    <row r="148" spans="1:5" x14ac:dyDescent="0.25">
      <c r="A148" s="13"/>
      <c r="B148" s="14">
        <v>45498</v>
      </c>
      <c r="C148" s="13"/>
      <c r="D148" s="15"/>
      <c r="E148" s="13"/>
    </row>
    <row r="149" spans="1:5" x14ac:dyDescent="0.25">
      <c r="B149" s="9">
        <v>45499</v>
      </c>
      <c r="D149" s="10"/>
    </row>
    <row r="150" spans="1:5" x14ac:dyDescent="0.25">
      <c r="A150" s="13"/>
      <c r="B150" s="14">
        <v>45500</v>
      </c>
      <c r="C150" s="13"/>
      <c r="D150" s="15"/>
      <c r="E150" s="13"/>
    </row>
    <row r="151" spans="1:5" x14ac:dyDescent="0.25">
      <c r="B151" s="9">
        <v>45501</v>
      </c>
      <c r="D151" s="10"/>
    </row>
    <row r="152" spans="1:5" x14ac:dyDescent="0.25">
      <c r="A152" s="13"/>
      <c r="B152" s="14">
        <v>45502</v>
      </c>
      <c r="C152" s="13"/>
      <c r="D152" s="15"/>
      <c r="E152" s="13"/>
    </row>
    <row r="153" spans="1:5" x14ac:dyDescent="0.25">
      <c r="B153" s="9">
        <v>45503</v>
      </c>
      <c r="D153" s="10"/>
    </row>
    <row r="154" spans="1:5" x14ac:dyDescent="0.25">
      <c r="A154" s="13"/>
      <c r="B154" s="14">
        <v>45504</v>
      </c>
      <c r="C154" s="13"/>
      <c r="D154" s="15"/>
      <c r="E154" s="13"/>
    </row>
    <row r="155" spans="1:5" x14ac:dyDescent="0.25">
      <c r="B155" s="9">
        <v>45505</v>
      </c>
      <c r="D155" s="10"/>
    </row>
    <row r="156" spans="1:5" x14ac:dyDescent="0.25">
      <c r="A156" s="13"/>
      <c r="B156" s="14">
        <v>45506</v>
      </c>
      <c r="C156" s="13"/>
      <c r="D156" s="15"/>
      <c r="E156" s="13"/>
    </row>
    <row r="157" spans="1:5" x14ac:dyDescent="0.25">
      <c r="B157" s="9">
        <v>45507</v>
      </c>
      <c r="D157" s="10"/>
    </row>
    <row r="158" spans="1:5" x14ac:dyDescent="0.25">
      <c r="A158" s="13"/>
      <c r="B158" s="14">
        <v>45508</v>
      </c>
      <c r="C158" s="13"/>
      <c r="D158" s="15"/>
      <c r="E158" s="13"/>
    </row>
    <row r="159" spans="1:5" x14ac:dyDescent="0.25">
      <c r="B159" s="9">
        <v>45509</v>
      </c>
      <c r="D159" s="10"/>
    </row>
    <row r="160" spans="1:5" x14ac:dyDescent="0.25">
      <c r="A160" s="13"/>
      <c r="B160" s="14">
        <v>45510</v>
      </c>
      <c r="C160" s="13"/>
      <c r="D160" s="15"/>
      <c r="E160" s="13"/>
    </row>
    <row r="161" spans="1:5" x14ac:dyDescent="0.25">
      <c r="B161" s="9">
        <v>45511</v>
      </c>
      <c r="D161" s="10"/>
    </row>
    <row r="162" spans="1:5" x14ac:dyDescent="0.25">
      <c r="A162" s="13"/>
      <c r="B162" s="14">
        <v>45512</v>
      </c>
      <c r="C162" s="13"/>
      <c r="D162" s="15"/>
      <c r="E162" s="13"/>
    </row>
    <row r="163" spans="1:5" x14ac:dyDescent="0.25">
      <c r="B163" s="9">
        <v>45513</v>
      </c>
      <c r="D163" s="10"/>
    </row>
    <row r="164" spans="1:5" x14ac:dyDescent="0.25">
      <c r="A164" s="13"/>
      <c r="B164" s="14">
        <v>45514</v>
      </c>
      <c r="C164" s="13"/>
      <c r="D164" s="15"/>
      <c r="E164" s="13"/>
    </row>
    <row r="165" spans="1:5" x14ac:dyDescent="0.25">
      <c r="B165" s="9">
        <v>45515</v>
      </c>
      <c r="D165" s="10"/>
    </row>
    <row r="166" spans="1:5" x14ac:dyDescent="0.25">
      <c r="A166" s="13"/>
      <c r="B166" s="14">
        <v>45516</v>
      </c>
      <c r="C166" s="13"/>
      <c r="D166" s="15"/>
      <c r="E166" s="13"/>
    </row>
    <row r="167" spans="1:5" x14ac:dyDescent="0.25">
      <c r="B167" s="9">
        <v>45517</v>
      </c>
      <c r="D167" s="10"/>
    </row>
    <row r="168" spans="1:5" x14ac:dyDescent="0.25">
      <c r="A168" s="13"/>
      <c r="B168" s="14">
        <v>45518</v>
      </c>
      <c r="C168" s="13"/>
      <c r="D168" s="15"/>
      <c r="E168" s="13"/>
    </row>
    <row r="169" spans="1:5" x14ac:dyDescent="0.25">
      <c r="B169" s="9">
        <v>45519</v>
      </c>
      <c r="D169" s="10"/>
    </row>
    <row r="170" spans="1:5" x14ac:dyDescent="0.25">
      <c r="A170" s="13"/>
      <c r="B170" s="14">
        <v>45520</v>
      </c>
      <c r="C170" s="13"/>
      <c r="D170" s="15"/>
      <c r="E170" s="13"/>
    </row>
    <row r="171" spans="1:5" x14ac:dyDescent="0.25">
      <c r="B171" s="9">
        <v>45521</v>
      </c>
      <c r="D171" s="10"/>
    </row>
    <row r="172" spans="1:5" x14ac:dyDescent="0.25">
      <c r="A172" s="13"/>
      <c r="B172" s="14">
        <v>45522</v>
      </c>
      <c r="C172" s="13"/>
      <c r="D172" s="15"/>
      <c r="E172" s="13"/>
    </row>
    <row r="173" spans="1:5" x14ac:dyDescent="0.25">
      <c r="B173" s="9">
        <v>45523</v>
      </c>
      <c r="D173" s="10"/>
    </row>
    <row r="174" spans="1:5" x14ac:dyDescent="0.25">
      <c r="A174" s="13"/>
      <c r="B174" s="14">
        <v>45524</v>
      </c>
      <c r="C174" s="13"/>
      <c r="D174" s="15"/>
      <c r="E174" s="13"/>
    </row>
    <row r="175" spans="1:5" x14ac:dyDescent="0.25">
      <c r="B175" s="9">
        <v>45525</v>
      </c>
      <c r="D175" s="10"/>
    </row>
    <row r="176" spans="1:5" x14ac:dyDescent="0.25">
      <c r="A176" s="13"/>
      <c r="B176" s="14">
        <v>45526</v>
      </c>
      <c r="C176" s="13"/>
      <c r="D176" s="15"/>
      <c r="E176" s="13"/>
    </row>
    <row r="177" spans="1:5" x14ac:dyDescent="0.25">
      <c r="B177" s="9">
        <v>45527</v>
      </c>
      <c r="D177" s="10"/>
    </row>
    <row r="178" spans="1:5" x14ac:dyDescent="0.25">
      <c r="A178" s="13"/>
      <c r="B178" s="14">
        <v>45528</v>
      </c>
      <c r="C178" s="13"/>
      <c r="D178" s="15"/>
      <c r="E178" s="13"/>
    </row>
    <row r="179" spans="1:5" x14ac:dyDescent="0.25">
      <c r="B179" s="9">
        <v>45529</v>
      </c>
      <c r="D179" s="10"/>
    </row>
    <row r="180" spans="1:5" x14ac:dyDescent="0.25">
      <c r="A180" s="13"/>
      <c r="B180" s="14">
        <v>45530</v>
      </c>
      <c r="C180" s="13"/>
      <c r="D180" s="15"/>
      <c r="E180" s="13"/>
    </row>
    <row r="181" spans="1:5" x14ac:dyDescent="0.25">
      <c r="B181" s="9">
        <v>45531</v>
      </c>
      <c r="D181" s="10"/>
    </row>
    <row r="182" spans="1:5" x14ac:dyDescent="0.25">
      <c r="A182" s="13"/>
      <c r="B182" s="14">
        <v>45532</v>
      </c>
      <c r="C182" s="13"/>
      <c r="D182" s="15"/>
      <c r="E182" s="13"/>
    </row>
    <row r="183" spans="1:5" x14ac:dyDescent="0.25">
      <c r="B183" s="9">
        <v>45533</v>
      </c>
      <c r="D183" s="10"/>
    </row>
    <row r="184" spans="1:5" x14ac:dyDescent="0.25">
      <c r="A184" s="13"/>
      <c r="B184" s="14">
        <v>45534</v>
      </c>
      <c r="C184" s="13"/>
      <c r="D184" s="15"/>
      <c r="E184" s="13"/>
    </row>
    <row r="185" spans="1:5" x14ac:dyDescent="0.25">
      <c r="B185" s="9">
        <v>45535</v>
      </c>
      <c r="D185" s="10"/>
    </row>
    <row r="186" spans="1:5" x14ac:dyDescent="0.25">
      <c r="A186" s="13"/>
      <c r="B186" s="14">
        <v>45536</v>
      </c>
      <c r="C186" s="13"/>
      <c r="D186" s="15"/>
      <c r="E186" s="13"/>
    </row>
    <row r="187" spans="1:5" x14ac:dyDescent="0.25">
      <c r="B187" s="9">
        <v>45537</v>
      </c>
      <c r="D187" s="10"/>
    </row>
    <row r="188" spans="1:5" x14ac:dyDescent="0.25">
      <c r="A188" s="13"/>
      <c r="B188" s="14">
        <v>45538</v>
      </c>
      <c r="C188" s="13"/>
      <c r="D188" s="15"/>
      <c r="E188" s="13"/>
    </row>
    <row r="189" spans="1:5" x14ac:dyDescent="0.25">
      <c r="B189" s="9">
        <v>45539</v>
      </c>
      <c r="D189" s="10"/>
    </row>
    <row r="190" spans="1:5" x14ac:dyDescent="0.25">
      <c r="A190" s="13"/>
      <c r="B190" s="14">
        <v>45540</v>
      </c>
      <c r="C190" s="13"/>
      <c r="D190" s="15"/>
      <c r="E190" s="13"/>
    </row>
    <row r="191" spans="1:5" x14ac:dyDescent="0.25">
      <c r="B191" s="9">
        <v>45541</v>
      </c>
      <c r="D191" s="10"/>
    </row>
    <row r="192" spans="1:5" x14ac:dyDescent="0.25">
      <c r="A192" s="13"/>
      <c r="B192" s="14">
        <v>45542</v>
      </c>
      <c r="C192" s="13"/>
      <c r="D192" s="15"/>
      <c r="E192" s="13"/>
    </row>
    <row r="193" spans="1:5" x14ac:dyDescent="0.25">
      <c r="B193" s="9">
        <v>45543</v>
      </c>
      <c r="D193" s="10"/>
    </row>
    <row r="194" spans="1:5" x14ac:dyDescent="0.25">
      <c r="A194" s="13"/>
      <c r="B194" s="14">
        <v>45544</v>
      </c>
      <c r="C194" s="13"/>
      <c r="D194" s="15"/>
      <c r="E194" s="13"/>
    </row>
    <row r="195" spans="1:5" x14ac:dyDescent="0.25">
      <c r="B195" s="9">
        <v>45545</v>
      </c>
      <c r="D195" s="10"/>
    </row>
    <row r="196" spans="1:5" x14ac:dyDescent="0.25">
      <c r="A196" s="13"/>
      <c r="B196" s="14">
        <v>45546</v>
      </c>
      <c r="C196" s="13"/>
      <c r="D196" s="15"/>
      <c r="E196" s="13"/>
    </row>
    <row r="197" spans="1:5" x14ac:dyDescent="0.25">
      <c r="B197" s="9">
        <v>45547</v>
      </c>
      <c r="D197" s="10"/>
    </row>
    <row r="198" spans="1:5" x14ac:dyDescent="0.25">
      <c r="A198" s="13"/>
      <c r="B198" s="14">
        <v>45548</v>
      </c>
      <c r="C198" s="13"/>
      <c r="D198" s="15"/>
      <c r="E198" s="13"/>
    </row>
    <row r="199" spans="1:5" x14ac:dyDescent="0.25">
      <c r="B199" s="9">
        <v>45549</v>
      </c>
      <c r="D199" s="10"/>
    </row>
    <row r="200" spans="1:5" x14ac:dyDescent="0.25">
      <c r="A200" s="13"/>
      <c r="B200" s="14">
        <v>45550</v>
      </c>
      <c r="C200" s="13"/>
      <c r="D200" s="15"/>
      <c r="E200" s="13"/>
    </row>
    <row r="201" spans="1:5" x14ac:dyDescent="0.25">
      <c r="B201" s="9">
        <v>45551</v>
      </c>
      <c r="D201" s="10"/>
    </row>
    <row r="202" spans="1:5" x14ac:dyDescent="0.25">
      <c r="A202" s="13"/>
      <c r="B202" s="14">
        <v>45552</v>
      </c>
      <c r="C202" s="13"/>
      <c r="D202" s="15"/>
      <c r="E202" s="13"/>
    </row>
    <row r="203" spans="1:5" x14ac:dyDescent="0.25">
      <c r="B203" s="9">
        <v>45553</v>
      </c>
      <c r="D203" s="10"/>
    </row>
    <row r="204" spans="1:5" x14ac:dyDescent="0.25">
      <c r="A204" s="13"/>
      <c r="B204" s="14">
        <v>45554</v>
      </c>
      <c r="C204" s="13"/>
      <c r="D204" s="15"/>
      <c r="E204" s="13"/>
    </row>
    <row r="205" spans="1:5" x14ac:dyDescent="0.25">
      <c r="B205" s="9">
        <v>45555</v>
      </c>
      <c r="D205" s="10"/>
    </row>
    <row r="206" spans="1:5" x14ac:dyDescent="0.25">
      <c r="A206" s="13"/>
      <c r="B206" s="14">
        <v>45556</v>
      </c>
      <c r="C206" s="13"/>
      <c r="D206" s="15"/>
      <c r="E206" s="13"/>
    </row>
    <row r="207" spans="1:5" x14ac:dyDescent="0.25">
      <c r="B207" s="9">
        <v>45557</v>
      </c>
      <c r="D207" s="10"/>
    </row>
    <row r="208" spans="1:5" x14ac:dyDescent="0.25">
      <c r="A208" s="13"/>
      <c r="B208" s="14">
        <v>45558</v>
      </c>
      <c r="C208" s="13"/>
      <c r="D208" s="15"/>
      <c r="E208" s="13"/>
    </row>
    <row r="209" spans="1:5" x14ac:dyDescent="0.25">
      <c r="B209" s="9">
        <v>45559</v>
      </c>
      <c r="D209" s="10"/>
    </row>
    <row r="210" spans="1:5" x14ac:dyDescent="0.25">
      <c r="A210" s="13"/>
      <c r="B210" s="14">
        <v>45560</v>
      </c>
      <c r="C210" s="13"/>
      <c r="D210" s="15"/>
      <c r="E210" s="13"/>
    </row>
    <row r="211" spans="1:5" x14ac:dyDescent="0.25">
      <c r="B211" s="9">
        <v>45561</v>
      </c>
      <c r="D211" s="10"/>
    </row>
    <row r="212" spans="1:5" x14ac:dyDescent="0.25">
      <c r="A212" s="13"/>
      <c r="B212" s="14">
        <v>45562</v>
      </c>
      <c r="C212" s="13"/>
      <c r="D212" s="15"/>
      <c r="E212" s="13"/>
    </row>
    <row r="213" spans="1:5" x14ac:dyDescent="0.25">
      <c r="B213" s="9">
        <v>45563</v>
      </c>
      <c r="D213" s="10"/>
    </row>
    <row r="214" spans="1:5" x14ac:dyDescent="0.25">
      <c r="A214" s="13"/>
      <c r="B214" s="14">
        <v>45564</v>
      </c>
      <c r="C214" s="13"/>
      <c r="D214" s="15"/>
      <c r="E214" s="13"/>
    </row>
    <row r="215" spans="1:5" x14ac:dyDescent="0.25">
      <c r="B215" s="9">
        <v>45565</v>
      </c>
      <c r="D215" s="10"/>
    </row>
    <row r="216" spans="1:5" x14ac:dyDescent="0.25">
      <c r="A216" s="13"/>
      <c r="B216" s="14">
        <v>45566</v>
      </c>
      <c r="C216" s="13"/>
      <c r="D216" s="15"/>
      <c r="E216" s="13"/>
    </row>
    <row r="217" spans="1:5" x14ac:dyDescent="0.25">
      <c r="B217" s="9">
        <v>45567</v>
      </c>
      <c r="D217" s="10"/>
    </row>
    <row r="218" spans="1:5" x14ac:dyDescent="0.25">
      <c r="A218" s="13"/>
      <c r="B218" s="14">
        <v>45568</v>
      </c>
      <c r="C218" s="13"/>
      <c r="D218" s="15"/>
      <c r="E218" s="13"/>
    </row>
    <row r="219" spans="1:5" x14ac:dyDescent="0.25">
      <c r="B219" s="9">
        <v>45569</v>
      </c>
      <c r="D219" s="10"/>
    </row>
    <row r="220" spans="1:5" x14ac:dyDescent="0.25">
      <c r="A220" s="13"/>
      <c r="B220" s="14">
        <v>45570</v>
      </c>
      <c r="C220" s="13"/>
      <c r="D220" s="15"/>
      <c r="E220" s="13"/>
    </row>
    <row r="221" spans="1:5" x14ac:dyDescent="0.25">
      <c r="B221" s="9">
        <v>45571</v>
      </c>
      <c r="D221" s="10"/>
    </row>
    <row r="222" spans="1:5" x14ac:dyDescent="0.25">
      <c r="A222" s="13"/>
      <c r="B222" s="14">
        <v>45572</v>
      </c>
      <c r="C222" s="13"/>
      <c r="D222" s="15"/>
      <c r="E222" s="13"/>
    </row>
    <row r="223" spans="1:5" x14ac:dyDescent="0.25">
      <c r="B223" s="9">
        <v>45573</v>
      </c>
      <c r="D223" s="10"/>
    </row>
    <row r="224" spans="1:5" x14ac:dyDescent="0.25">
      <c r="A224" s="13"/>
      <c r="B224" s="14">
        <v>45574</v>
      </c>
      <c r="C224" s="13"/>
      <c r="D224" s="15"/>
      <c r="E224" s="13"/>
    </row>
    <row r="225" spans="1:5" x14ac:dyDescent="0.25">
      <c r="B225" s="9">
        <v>45575</v>
      </c>
      <c r="D225" s="10"/>
    </row>
    <row r="226" spans="1:5" x14ac:dyDescent="0.25">
      <c r="A226" s="13"/>
      <c r="B226" s="14">
        <v>45576</v>
      </c>
      <c r="C226" s="13"/>
      <c r="D226" s="15"/>
      <c r="E226" s="13"/>
    </row>
    <row r="227" spans="1:5" x14ac:dyDescent="0.25">
      <c r="B227" s="9">
        <v>45577</v>
      </c>
      <c r="D227" s="10"/>
    </row>
    <row r="228" spans="1:5" x14ac:dyDescent="0.25">
      <c r="A228" s="13"/>
      <c r="B228" s="14">
        <v>45578</v>
      </c>
      <c r="C228" s="13"/>
      <c r="D228" s="15"/>
      <c r="E228" s="13"/>
    </row>
    <row r="229" spans="1:5" x14ac:dyDescent="0.25">
      <c r="B229" s="9">
        <v>45579</v>
      </c>
      <c r="D229" s="10"/>
    </row>
    <row r="230" spans="1:5" x14ac:dyDescent="0.25">
      <c r="A230" s="13"/>
      <c r="B230" s="14">
        <v>45580</v>
      </c>
      <c r="C230" s="13"/>
      <c r="D230" s="15"/>
      <c r="E230" s="13"/>
    </row>
    <row r="231" spans="1:5" x14ac:dyDescent="0.25">
      <c r="B231" s="9">
        <v>45581</v>
      </c>
      <c r="D231" s="10"/>
    </row>
    <row r="232" spans="1:5" x14ac:dyDescent="0.25">
      <c r="A232" s="13"/>
      <c r="B232" s="14">
        <v>45582</v>
      </c>
      <c r="C232" s="13"/>
      <c r="D232" s="15"/>
      <c r="E232" s="13"/>
    </row>
    <row r="233" spans="1:5" x14ac:dyDescent="0.25">
      <c r="B233" s="9">
        <v>45583</v>
      </c>
      <c r="D233" s="10"/>
    </row>
    <row r="234" spans="1:5" x14ac:dyDescent="0.25">
      <c r="A234" s="13"/>
      <c r="B234" s="14">
        <v>45584</v>
      </c>
      <c r="C234" s="13"/>
      <c r="D234" s="15"/>
      <c r="E234" s="13"/>
    </row>
    <row r="235" spans="1:5" x14ac:dyDescent="0.25">
      <c r="B235" s="9">
        <v>45585</v>
      </c>
      <c r="D235" s="10"/>
    </row>
    <row r="236" spans="1:5" x14ac:dyDescent="0.25">
      <c r="A236" s="13"/>
      <c r="B236" s="14">
        <v>45586</v>
      </c>
      <c r="C236" s="13"/>
      <c r="D236" s="15"/>
      <c r="E236" s="13"/>
    </row>
    <row r="237" spans="1:5" x14ac:dyDescent="0.25">
      <c r="B237" s="9">
        <v>45587</v>
      </c>
      <c r="D237" s="10"/>
    </row>
    <row r="238" spans="1:5" x14ac:dyDescent="0.25">
      <c r="A238" s="13"/>
      <c r="B238" s="14">
        <v>45588</v>
      </c>
      <c r="C238" s="13"/>
      <c r="D238" s="15"/>
      <c r="E238" s="13"/>
    </row>
    <row r="239" spans="1:5" x14ac:dyDescent="0.25">
      <c r="B239" s="9">
        <v>45589</v>
      </c>
      <c r="D239" s="10"/>
    </row>
    <row r="240" spans="1:5" x14ac:dyDescent="0.25">
      <c r="A240" s="13"/>
      <c r="B240" s="14">
        <v>45590</v>
      </c>
      <c r="C240" s="13"/>
      <c r="D240" s="15"/>
      <c r="E240" s="13"/>
    </row>
    <row r="241" spans="1:5" x14ac:dyDescent="0.25">
      <c r="B241" s="9">
        <v>45591</v>
      </c>
      <c r="D241" s="10"/>
    </row>
    <row r="242" spans="1:5" x14ac:dyDescent="0.25">
      <c r="A242" s="13"/>
      <c r="B242" s="14">
        <v>45592</v>
      </c>
      <c r="C242" s="13"/>
      <c r="D242" s="15"/>
      <c r="E242" s="13"/>
    </row>
    <row r="243" spans="1:5" x14ac:dyDescent="0.25">
      <c r="B243" s="9">
        <v>45593</v>
      </c>
      <c r="D243" s="10"/>
    </row>
    <row r="244" spans="1:5" x14ac:dyDescent="0.25">
      <c r="A244" s="13"/>
      <c r="B244" s="14">
        <v>45594</v>
      </c>
      <c r="C244" s="13"/>
      <c r="D244" s="15"/>
      <c r="E244" s="13"/>
    </row>
    <row r="245" spans="1:5" x14ac:dyDescent="0.25">
      <c r="B245" s="9">
        <v>45595</v>
      </c>
      <c r="D245" s="10"/>
    </row>
    <row r="246" spans="1:5" x14ac:dyDescent="0.25">
      <c r="A246" s="13"/>
      <c r="B246" s="14">
        <v>45596</v>
      </c>
      <c r="C246" s="13"/>
      <c r="D246" s="15"/>
      <c r="E246" s="13"/>
    </row>
    <row r="247" spans="1:5" x14ac:dyDescent="0.25">
      <c r="B247" s="9">
        <v>45597</v>
      </c>
      <c r="D247" s="10"/>
    </row>
    <row r="248" spans="1:5" x14ac:dyDescent="0.25">
      <c r="A248" s="13"/>
      <c r="B248" s="14">
        <v>45598</v>
      </c>
      <c r="C248" s="13"/>
      <c r="D248" s="15"/>
      <c r="E248" s="13"/>
    </row>
    <row r="249" spans="1:5" x14ac:dyDescent="0.25">
      <c r="B249" s="9">
        <v>45599</v>
      </c>
      <c r="D249" s="10"/>
    </row>
    <row r="250" spans="1:5" x14ac:dyDescent="0.25">
      <c r="A250" s="13"/>
      <c r="B250" s="14">
        <v>45600</v>
      </c>
      <c r="C250" s="13"/>
      <c r="D250" s="15"/>
      <c r="E250" s="13"/>
    </row>
    <row r="251" spans="1:5" x14ac:dyDescent="0.25">
      <c r="B251" s="9">
        <v>45601</v>
      </c>
      <c r="D251" s="10"/>
    </row>
    <row r="252" spans="1:5" x14ac:dyDescent="0.25">
      <c r="A252" s="13"/>
      <c r="B252" s="14">
        <v>45602</v>
      </c>
      <c r="C252" s="13"/>
      <c r="D252" s="15"/>
      <c r="E252" s="13"/>
    </row>
    <row r="253" spans="1:5" x14ac:dyDescent="0.25">
      <c r="B253" s="9">
        <v>45603</v>
      </c>
      <c r="D253" s="10"/>
    </row>
    <row r="254" spans="1:5" x14ac:dyDescent="0.25">
      <c r="A254" s="13"/>
      <c r="B254" s="14">
        <v>45604</v>
      </c>
      <c r="C254" s="13"/>
      <c r="D254" s="15"/>
      <c r="E254" s="13"/>
    </row>
    <row r="255" spans="1:5" x14ac:dyDescent="0.25">
      <c r="B255" s="9">
        <v>45605</v>
      </c>
      <c r="D255" s="10"/>
    </row>
    <row r="256" spans="1:5" x14ac:dyDescent="0.25">
      <c r="A256" s="13"/>
      <c r="B256" s="14">
        <v>45606</v>
      </c>
      <c r="C256" s="13"/>
      <c r="D256" s="15"/>
      <c r="E256" s="13"/>
    </row>
    <row r="257" spans="1:5" x14ac:dyDescent="0.25">
      <c r="B257" s="9">
        <v>45607</v>
      </c>
      <c r="D257" s="10"/>
    </row>
    <row r="258" spans="1:5" x14ac:dyDescent="0.25">
      <c r="A258" s="13"/>
      <c r="B258" s="14">
        <v>45608</v>
      </c>
      <c r="C258" s="13"/>
      <c r="D258" s="15"/>
      <c r="E258" s="13"/>
    </row>
    <row r="259" spans="1:5" x14ac:dyDescent="0.25">
      <c r="B259" s="9">
        <v>45609</v>
      </c>
      <c r="D259" s="10"/>
    </row>
    <row r="260" spans="1:5" x14ac:dyDescent="0.25">
      <c r="A260" s="13"/>
      <c r="B260" s="14">
        <v>45610</v>
      </c>
      <c r="C260" s="13"/>
      <c r="D260" s="15"/>
      <c r="E260" s="13"/>
    </row>
    <row r="261" spans="1:5" x14ac:dyDescent="0.25">
      <c r="B261" s="9">
        <v>45611</v>
      </c>
      <c r="D261" s="10"/>
    </row>
    <row r="262" spans="1:5" x14ac:dyDescent="0.25">
      <c r="A262" s="13"/>
      <c r="B262" s="14">
        <v>45612</v>
      </c>
      <c r="C262" s="13"/>
      <c r="D262" s="15"/>
      <c r="E262" s="13"/>
    </row>
    <row r="263" spans="1:5" x14ac:dyDescent="0.25">
      <c r="B263" s="9">
        <v>45613</v>
      </c>
      <c r="D263" s="10"/>
    </row>
    <row r="264" spans="1:5" x14ac:dyDescent="0.25">
      <c r="A264" s="13"/>
      <c r="B264" s="14">
        <v>45614</v>
      </c>
      <c r="C264" s="13"/>
      <c r="D264" s="15"/>
      <c r="E264" s="13"/>
    </row>
    <row r="265" spans="1:5" x14ac:dyDescent="0.25">
      <c r="B265" s="9">
        <v>45615</v>
      </c>
      <c r="D265" s="10"/>
    </row>
    <row r="266" spans="1:5" x14ac:dyDescent="0.25">
      <c r="A266" s="13"/>
      <c r="B266" s="14">
        <v>45616</v>
      </c>
      <c r="C266" s="13"/>
      <c r="D266" s="15"/>
      <c r="E266" s="13"/>
    </row>
    <row r="267" spans="1:5" x14ac:dyDescent="0.25">
      <c r="B267" s="9">
        <v>45617</v>
      </c>
      <c r="D267" s="10"/>
    </row>
    <row r="268" spans="1:5" x14ac:dyDescent="0.25">
      <c r="A268" s="13"/>
      <c r="B268" s="14">
        <v>45618</v>
      </c>
      <c r="C268" s="13"/>
      <c r="D268" s="15"/>
      <c r="E268" s="13"/>
    </row>
    <row r="269" spans="1:5" x14ac:dyDescent="0.25">
      <c r="B269" s="9">
        <v>45619</v>
      </c>
      <c r="D269" s="10"/>
    </row>
    <row r="270" spans="1:5" x14ac:dyDescent="0.25">
      <c r="A270" s="13"/>
      <c r="B270" s="14">
        <v>45620</v>
      </c>
      <c r="C270" s="13"/>
      <c r="D270" s="15"/>
      <c r="E270" s="13"/>
    </row>
    <row r="271" spans="1:5" x14ac:dyDescent="0.25">
      <c r="B271" s="9">
        <v>45621</v>
      </c>
      <c r="D271" s="10"/>
    </row>
    <row r="272" spans="1:5" x14ac:dyDescent="0.25">
      <c r="A272" s="13"/>
      <c r="B272" s="14">
        <v>45622</v>
      </c>
      <c r="C272" s="13"/>
      <c r="D272" s="15"/>
      <c r="E272" s="13"/>
    </row>
    <row r="273" spans="1:5" x14ac:dyDescent="0.25">
      <c r="B273" s="9">
        <v>45623</v>
      </c>
      <c r="D273" s="10"/>
    </row>
    <row r="274" spans="1:5" x14ac:dyDescent="0.25">
      <c r="A274" s="13"/>
      <c r="B274" s="14">
        <v>45624</v>
      </c>
      <c r="C274" s="13"/>
      <c r="D274" s="15"/>
      <c r="E274" s="13"/>
    </row>
    <row r="275" spans="1:5" x14ac:dyDescent="0.25">
      <c r="B275" s="9">
        <v>45625</v>
      </c>
      <c r="D275" s="10"/>
    </row>
    <row r="276" spans="1:5" x14ac:dyDescent="0.25">
      <c r="A276" s="13"/>
      <c r="B276" s="14">
        <v>45626</v>
      </c>
      <c r="C276" s="13"/>
      <c r="D276" s="15"/>
      <c r="E276" s="13"/>
    </row>
    <row r="277" spans="1:5" x14ac:dyDescent="0.25">
      <c r="B277" s="9">
        <v>45627</v>
      </c>
      <c r="D277" s="10"/>
    </row>
    <row r="278" spans="1:5" x14ac:dyDescent="0.25">
      <c r="A278" s="13"/>
      <c r="B278" s="14">
        <v>45628</v>
      </c>
      <c r="C278" s="13"/>
      <c r="D278" s="15"/>
      <c r="E278" s="13"/>
    </row>
    <row r="279" spans="1:5" x14ac:dyDescent="0.25">
      <c r="B279" s="9">
        <v>45629</v>
      </c>
      <c r="D279" s="10"/>
    </row>
    <row r="280" spans="1:5" x14ac:dyDescent="0.25">
      <c r="A280" s="13"/>
      <c r="B280" s="14">
        <v>45630</v>
      </c>
      <c r="C280" s="13"/>
      <c r="D280" s="15"/>
      <c r="E280" s="13"/>
    </row>
    <row r="281" spans="1:5" x14ac:dyDescent="0.25">
      <c r="B281" s="9">
        <v>45631</v>
      </c>
      <c r="D281" s="10"/>
    </row>
    <row r="282" spans="1:5" x14ac:dyDescent="0.25">
      <c r="A282" s="13"/>
      <c r="B282" s="14">
        <v>45632</v>
      </c>
      <c r="C282" s="13"/>
      <c r="D282" s="15"/>
      <c r="E282" s="13"/>
    </row>
    <row r="283" spans="1:5" x14ac:dyDescent="0.25">
      <c r="B283" s="9">
        <v>45633</v>
      </c>
      <c r="D283" s="10"/>
    </row>
    <row r="284" spans="1:5" x14ac:dyDescent="0.25">
      <c r="A284" s="13"/>
      <c r="B284" s="14">
        <v>45634</v>
      </c>
      <c r="C284" s="13"/>
      <c r="D284" s="15"/>
      <c r="E284" s="13"/>
    </row>
    <row r="285" spans="1:5" x14ac:dyDescent="0.25">
      <c r="B285" s="9">
        <v>45635</v>
      </c>
      <c r="D285" s="10"/>
    </row>
    <row r="286" spans="1:5" x14ac:dyDescent="0.25">
      <c r="A286" s="13"/>
      <c r="B286" s="14">
        <v>45636</v>
      </c>
      <c r="C286" s="13"/>
      <c r="D286" s="15"/>
      <c r="E286" s="13"/>
    </row>
    <row r="287" spans="1:5" x14ac:dyDescent="0.25">
      <c r="B287" s="9">
        <v>45637</v>
      </c>
      <c r="D287" s="10"/>
    </row>
    <row r="288" spans="1:5" x14ac:dyDescent="0.25">
      <c r="A288" s="13"/>
      <c r="B288" s="14">
        <v>45638</v>
      </c>
      <c r="C288" s="13"/>
      <c r="D288" s="15"/>
      <c r="E288" s="13"/>
    </row>
    <row r="289" spans="1:5" x14ac:dyDescent="0.25">
      <c r="B289" s="9">
        <v>45639</v>
      </c>
      <c r="D289" s="10"/>
    </row>
    <row r="290" spans="1:5" x14ac:dyDescent="0.25">
      <c r="A290" s="13"/>
      <c r="B290" s="14">
        <v>45640</v>
      </c>
      <c r="C290" s="13"/>
      <c r="D290" s="15"/>
      <c r="E290" s="13"/>
    </row>
    <row r="291" spans="1:5" x14ac:dyDescent="0.25">
      <c r="B291" s="9">
        <v>45641</v>
      </c>
      <c r="D291" s="10"/>
    </row>
    <row r="292" spans="1:5" x14ac:dyDescent="0.25">
      <c r="A292" s="13"/>
      <c r="B292" s="14">
        <v>45642</v>
      </c>
      <c r="C292" s="13"/>
      <c r="D292" s="15"/>
      <c r="E292" s="13"/>
    </row>
    <row r="293" spans="1:5" x14ac:dyDescent="0.25">
      <c r="B293" s="9">
        <v>45643</v>
      </c>
      <c r="D293" s="10"/>
    </row>
    <row r="294" spans="1:5" x14ac:dyDescent="0.25">
      <c r="A294" s="13"/>
      <c r="B294" s="14">
        <v>45644</v>
      </c>
      <c r="C294" s="13"/>
      <c r="D294" s="15"/>
      <c r="E294" s="13"/>
    </row>
    <row r="295" spans="1:5" x14ac:dyDescent="0.25">
      <c r="B295" s="9">
        <v>45645</v>
      </c>
      <c r="D295" s="10"/>
    </row>
    <row r="296" spans="1:5" x14ac:dyDescent="0.25">
      <c r="A296" s="13"/>
      <c r="B296" s="14">
        <v>45646</v>
      </c>
      <c r="C296" s="13"/>
      <c r="D296" s="15"/>
      <c r="E296" s="13"/>
    </row>
    <row r="297" spans="1:5" x14ac:dyDescent="0.25">
      <c r="B297" s="9">
        <v>45647</v>
      </c>
      <c r="D297" s="10"/>
    </row>
    <row r="298" spans="1:5" x14ac:dyDescent="0.25">
      <c r="A298" s="13"/>
      <c r="B298" s="14">
        <v>45648</v>
      </c>
      <c r="C298" s="13"/>
      <c r="D298" s="15"/>
      <c r="E298" s="13"/>
    </row>
    <row r="299" spans="1:5" x14ac:dyDescent="0.25">
      <c r="B299" s="9">
        <v>45649</v>
      </c>
      <c r="D299" s="10"/>
    </row>
    <row r="300" spans="1:5" x14ac:dyDescent="0.25">
      <c r="A300" s="13"/>
      <c r="B300" s="14">
        <v>45650</v>
      </c>
      <c r="C300" s="13"/>
      <c r="D300" s="15"/>
      <c r="E300" s="13"/>
    </row>
    <row r="301" spans="1:5" x14ac:dyDescent="0.25">
      <c r="B301" s="9">
        <v>45651</v>
      </c>
      <c r="D301" s="10"/>
    </row>
    <row r="302" spans="1:5" x14ac:dyDescent="0.25">
      <c r="A302" s="13"/>
      <c r="B302" s="14">
        <v>45652</v>
      </c>
      <c r="C302" s="13"/>
      <c r="D302" s="15"/>
      <c r="E302" s="13"/>
    </row>
    <row r="303" spans="1:5" x14ac:dyDescent="0.25">
      <c r="B303" s="9">
        <v>45653</v>
      </c>
      <c r="D303" s="10"/>
    </row>
    <row r="304" spans="1:5" x14ac:dyDescent="0.25">
      <c r="A304" s="13"/>
      <c r="B304" s="14">
        <v>45654</v>
      </c>
      <c r="C304" s="13"/>
      <c r="D304" s="15"/>
      <c r="E304" s="13"/>
    </row>
    <row r="305" spans="1:5" x14ac:dyDescent="0.25">
      <c r="B305" s="9">
        <v>45655</v>
      </c>
      <c r="D305" s="10"/>
    </row>
    <row r="306" spans="1:5" x14ac:dyDescent="0.25">
      <c r="A306" s="13"/>
      <c r="B306" s="14">
        <v>45656</v>
      </c>
      <c r="C306" s="13"/>
      <c r="D306" s="15"/>
      <c r="E306" s="13"/>
    </row>
    <row r="307" spans="1:5" x14ac:dyDescent="0.25">
      <c r="B307" s="9">
        <v>45657</v>
      </c>
      <c r="D307" s="10"/>
    </row>
    <row r="308" spans="1:5" x14ac:dyDescent="0.25">
      <c r="A308" s="13"/>
      <c r="B308" s="14"/>
      <c r="C308" s="13"/>
      <c r="D308" s="15"/>
      <c r="E308" s="13"/>
    </row>
    <row r="309" spans="1:5" x14ac:dyDescent="0.25">
      <c r="B309" s="9"/>
      <c r="D309" s="10"/>
    </row>
    <row r="310" spans="1:5" x14ac:dyDescent="0.25">
      <c r="A310" s="13"/>
      <c r="B310" s="14"/>
      <c r="C310" s="13"/>
      <c r="D310" s="15"/>
      <c r="E310" s="13"/>
    </row>
    <row r="311" spans="1:5" x14ac:dyDescent="0.25">
      <c r="B311" s="9"/>
      <c r="D311" s="10"/>
    </row>
    <row r="312" spans="1:5" x14ac:dyDescent="0.25">
      <c r="A312" s="13"/>
      <c r="B312" s="14"/>
      <c r="C312" s="13"/>
      <c r="D312" s="15"/>
      <c r="E312" s="13"/>
    </row>
    <row r="313" spans="1:5" x14ac:dyDescent="0.25">
      <c r="B313" s="9"/>
      <c r="D313" s="10"/>
    </row>
    <row r="314" spans="1:5" x14ac:dyDescent="0.25">
      <c r="A314" s="13"/>
      <c r="B314" s="14"/>
      <c r="C314" s="13"/>
      <c r="D314" s="15"/>
      <c r="E314" s="13"/>
    </row>
    <row r="315" spans="1:5" x14ac:dyDescent="0.25">
      <c r="B315" s="9"/>
      <c r="D315" s="10"/>
    </row>
    <row r="316" spans="1:5" x14ac:dyDescent="0.25">
      <c r="A316" s="13"/>
      <c r="B316" s="14"/>
      <c r="C316" s="13"/>
      <c r="D316" s="15"/>
      <c r="E316" s="13"/>
    </row>
    <row r="317" spans="1:5" x14ac:dyDescent="0.25">
      <c r="B317" s="9"/>
      <c r="D317" s="10"/>
    </row>
    <row r="318" spans="1:5" x14ac:dyDescent="0.25">
      <c r="A318" s="13"/>
      <c r="B318" s="14"/>
      <c r="C318" s="13"/>
      <c r="D318" s="15"/>
      <c r="E318" s="13"/>
    </row>
    <row r="319" spans="1:5" x14ac:dyDescent="0.25">
      <c r="B319" s="9"/>
      <c r="D319" s="10"/>
    </row>
    <row r="320" spans="1:5" x14ac:dyDescent="0.25">
      <c r="A320" s="13"/>
      <c r="B320" s="14"/>
      <c r="C320" s="13"/>
      <c r="D320" s="15"/>
      <c r="E320" s="13"/>
    </row>
    <row r="321" spans="1:5" x14ac:dyDescent="0.25">
      <c r="B321" s="9"/>
      <c r="D321" s="10"/>
    </row>
    <row r="322" spans="1:5" x14ac:dyDescent="0.25">
      <c r="A322" s="13"/>
      <c r="B322" s="14"/>
      <c r="C322" s="13"/>
      <c r="D322" s="15"/>
      <c r="E322" s="13"/>
    </row>
    <row r="323" spans="1:5" x14ac:dyDescent="0.25">
      <c r="B323" s="9"/>
      <c r="D323" s="10"/>
    </row>
    <row r="324" spans="1:5" x14ac:dyDescent="0.25">
      <c r="A324" s="13"/>
      <c r="B324" s="14"/>
      <c r="C324" s="13"/>
      <c r="D324" s="15"/>
      <c r="E324" s="13"/>
    </row>
    <row r="325" spans="1:5" x14ac:dyDescent="0.25">
      <c r="B325" s="9"/>
      <c r="D325" s="10"/>
    </row>
    <row r="326" spans="1:5" x14ac:dyDescent="0.25">
      <c r="A326" s="13"/>
      <c r="B326" s="14"/>
      <c r="C326" s="13"/>
      <c r="D326" s="15"/>
      <c r="E326" s="13"/>
    </row>
    <row r="327" spans="1:5" x14ac:dyDescent="0.25">
      <c r="B327" s="9"/>
      <c r="D327" s="10"/>
    </row>
    <row r="328" spans="1:5" x14ac:dyDescent="0.25">
      <c r="A328" s="13"/>
      <c r="B328" s="14"/>
      <c r="C328" s="13"/>
      <c r="D328" s="15"/>
      <c r="E328" s="13"/>
    </row>
    <row r="329" spans="1:5" x14ac:dyDescent="0.25">
      <c r="B329" s="9"/>
      <c r="D329" s="10"/>
    </row>
    <row r="330" spans="1:5" x14ac:dyDescent="0.25">
      <c r="A330" s="13"/>
      <c r="B330" s="14"/>
      <c r="C330" s="13"/>
      <c r="D330" s="15"/>
      <c r="E330" s="13"/>
    </row>
    <row r="331" spans="1:5" x14ac:dyDescent="0.25">
      <c r="B331" s="9"/>
      <c r="D331" s="10"/>
    </row>
    <row r="332" spans="1:5" x14ac:dyDescent="0.25">
      <c r="A332" s="13"/>
      <c r="B332" s="14"/>
      <c r="C332" s="13"/>
      <c r="D332" s="15"/>
      <c r="E332" s="13"/>
    </row>
    <row r="333" spans="1:5" x14ac:dyDescent="0.25">
      <c r="B333" s="9"/>
      <c r="D333" s="10"/>
    </row>
    <row r="334" spans="1:5" x14ac:dyDescent="0.25">
      <c r="A334" s="13"/>
      <c r="B334" s="14"/>
      <c r="C334" s="13"/>
      <c r="D334" s="15"/>
      <c r="E334" s="13"/>
    </row>
    <row r="335" spans="1:5" x14ac:dyDescent="0.25">
      <c r="B335" s="9"/>
      <c r="D335" s="10"/>
    </row>
    <row r="336" spans="1:5" x14ac:dyDescent="0.25">
      <c r="A336" s="13"/>
      <c r="B336" s="14"/>
      <c r="C336" s="13"/>
      <c r="D336" s="15"/>
      <c r="E336" s="13"/>
    </row>
    <row r="337" spans="1:5" x14ac:dyDescent="0.25">
      <c r="B337" s="9"/>
      <c r="D337" s="10"/>
    </row>
    <row r="338" spans="1:5" x14ac:dyDescent="0.25">
      <c r="A338" s="13"/>
      <c r="B338" s="14"/>
      <c r="C338" s="13"/>
      <c r="D338" s="15"/>
      <c r="E338" s="13"/>
    </row>
    <row r="339" spans="1:5" x14ac:dyDescent="0.25">
      <c r="B339" s="9"/>
      <c r="D339" s="10"/>
    </row>
    <row r="340" spans="1:5" x14ac:dyDescent="0.25">
      <c r="A340" s="13"/>
      <c r="B340" s="14"/>
      <c r="C340" s="13"/>
      <c r="D340" s="15"/>
      <c r="E340" s="13"/>
    </row>
    <row r="341" spans="1:5" x14ac:dyDescent="0.25">
      <c r="B341" s="9"/>
      <c r="D341" s="10"/>
    </row>
    <row r="342" spans="1:5" x14ac:dyDescent="0.25">
      <c r="A342" s="13"/>
      <c r="B342" s="14"/>
      <c r="C342" s="13"/>
      <c r="D342" s="15"/>
      <c r="E342" s="13"/>
    </row>
    <row r="343" spans="1:5" x14ac:dyDescent="0.25">
      <c r="B343" s="9"/>
      <c r="D343" s="10"/>
    </row>
    <row r="344" spans="1:5" x14ac:dyDescent="0.25">
      <c r="A344" s="13"/>
      <c r="B344" s="14"/>
      <c r="C344" s="13"/>
      <c r="D344" s="15"/>
      <c r="E344" s="13"/>
    </row>
    <row r="345" spans="1:5" x14ac:dyDescent="0.25">
      <c r="B345" s="9"/>
      <c r="D345" s="10"/>
    </row>
    <row r="346" spans="1:5" x14ac:dyDescent="0.25">
      <c r="A346" s="13"/>
      <c r="B346" s="14"/>
      <c r="C346" s="13"/>
      <c r="D346" s="15"/>
      <c r="E346" s="13"/>
    </row>
    <row r="347" spans="1:5" x14ac:dyDescent="0.25">
      <c r="B347" s="9"/>
      <c r="D347" s="10"/>
    </row>
    <row r="348" spans="1:5" x14ac:dyDescent="0.25">
      <c r="A348" s="13"/>
      <c r="B348" s="14"/>
      <c r="C348" s="13"/>
      <c r="D348" s="15"/>
      <c r="E348" s="13"/>
    </row>
    <row r="349" spans="1:5" x14ac:dyDescent="0.25">
      <c r="B349" s="9"/>
      <c r="D349" s="10"/>
    </row>
    <row r="350" spans="1:5" x14ac:dyDescent="0.25">
      <c r="A350" s="13"/>
      <c r="B350" s="14"/>
      <c r="C350" s="13"/>
      <c r="D350" s="15"/>
      <c r="E350" s="13"/>
    </row>
    <row r="351" spans="1:5" x14ac:dyDescent="0.25">
      <c r="B351" s="9"/>
      <c r="D351" s="10"/>
    </row>
    <row r="352" spans="1:5" x14ac:dyDescent="0.25">
      <c r="A352" s="13"/>
      <c r="B352" s="14"/>
      <c r="C352" s="13"/>
      <c r="D352" s="15"/>
      <c r="E352" s="13"/>
    </row>
    <row r="353" spans="1:5" x14ac:dyDescent="0.25">
      <c r="B353" s="9"/>
      <c r="D353" s="10"/>
    </row>
    <row r="354" spans="1:5" x14ac:dyDescent="0.25">
      <c r="A354" s="13"/>
      <c r="B354" s="14"/>
      <c r="C354" s="13"/>
      <c r="D354" s="15"/>
      <c r="E354" s="13"/>
    </row>
    <row r="355" spans="1:5" x14ac:dyDescent="0.25">
      <c r="B355" s="9"/>
      <c r="D355" s="10"/>
    </row>
    <row r="356" spans="1:5" x14ac:dyDescent="0.25">
      <c r="A356" s="13"/>
      <c r="B356" s="14"/>
      <c r="C356" s="13"/>
      <c r="D356" s="15"/>
      <c r="E356" s="13"/>
    </row>
    <row r="357" spans="1:5" x14ac:dyDescent="0.25">
      <c r="B357" s="9"/>
      <c r="D357" s="10"/>
    </row>
    <row r="358" spans="1:5" x14ac:dyDescent="0.25">
      <c r="A358" s="13"/>
      <c r="B358" s="14"/>
      <c r="C358" s="13"/>
      <c r="D358" s="15"/>
      <c r="E358" s="13"/>
    </row>
    <row r="359" spans="1:5" x14ac:dyDescent="0.25">
      <c r="B359" s="9"/>
      <c r="D359" s="10"/>
    </row>
    <row r="360" spans="1:5" x14ac:dyDescent="0.25">
      <c r="A360" s="13"/>
      <c r="B360" s="14"/>
      <c r="C360" s="13"/>
      <c r="D360" s="15"/>
      <c r="E360" s="13"/>
    </row>
    <row r="361" spans="1:5" x14ac:dyDescent="0.25">
      <c r="B361" s="9"/>
      <c r="D361" s="10"/>
    </row>
    <row r="362" spans="1:5" x14ac:dyDescent="0.25">
      <c r="A362" s="13"/>
      <c r="B362" s="14"/>
      <c r="C362" s="13"/>
      <c r="D362" s="15"/>
      <c r="E362" s="13"/>
    </row>
    <row r="363" spans="1:5" x14ac:dyDescent="0.25">
      <c r="B363" s="9"/>
      <c r="D363" s="10"/>
    </row>
    <row r="364" spans="1:5" x14ac:dyDescent="0.25">
      <c r="A364" s="13"/>
      <c r="B364" s="14"/>
      <c r="C364" s="13"/>
      <c r="D364" s="15"/>
      <c r="E364" s="13"/>
    </row>
    <row r="365" spans="1:5" x14ac:dyDescent="0.25">
      <c r="B365" s="9"/>
      <c r="D365" s="10"/>
    </row>
    <row r="366" spans="1:5" x14ac:dyDescent="0.25">
      <c r="A366" s="13"/>
      <c r="B366" s="14"/>
      <c r="C366" s="13"/>
      <c r="D366" s="15"/>
      <c r="E366" s="13"/>
    </row>
    <row r="367" spans="1:5" x14ac:dyDescent="0.25">
      <c r="B367" s="9"/>
      <c r="D367" s="10"/>
    </row>
    <row r="368" spans="1:5" x14ac:dyDescent="0.25">
      <c r="A368" s="13"/>
      <c r="B368" s="14"/>
      <c r="C368" s="13"/>
      <c r="D368" s="15"/>
      <c r="E368" s="13"/>
    </row>
    <row r="369" spans="1:5" x14ac:dyDescent="0.25">
      <c r="B369" s="9"/>
      <c r="D369" s="10"/>
    </row>
    <row r="370" spans="1:5" x14ac:dyDescent="0.25">
      <c r="A370" s="13"/>
      <c r="B370" s="14"/>
      <c r="C370" s="13"/>
      <c r="D370" s="15"/>
      <c r="E370" s="13"/>
    </row>
    <row r="371" spans="1:5" x14ac:dyDescent="0.25">
      <c r="B371" s="9"/>
      <c r="D371" s="10"/>
    </row>
    <row r="372" spans="1:5" x14ac:dyDescent="0.25">
      <c r="A372" s="13"/>
      <c r="B372" s="14"/>
      <c r="C372" s="13"/>
      <c r="D372" s="15"/>
      <c r="E372" s="13"/>
    </row>
    <row r="373" spans="1:5" x14ac:dyDescent="0.25">
      <c r="B373" s="9"/>
      <c r="D373" s="10"/>
    </row>
    <row r="374" spans="1:5" x14ac:dyDescent="0.25">
      <c r="A374" s="13"/>
      <c r="B374" s="14"/>
      <c r="C374" s="13"/>
      <c r="D374" s="15"/>
      <c r="E374" s="13"/>
    </row>
    <row r="375" spans="1:5" x14ac:dyDescent="0.25">
      <c r="B375" s="9"/>
      <c r="D375" s="10"/>
    </row>
    <row r="376" spans="1:5" x14ac:dyDescent="0.25">
      <c r="A376" s="13"/>
      <c r="B376" s="14"/>
      <c r="C376" s="13"/>
      <c r="D376" s="15"/>
      <c r="E376" s="13"/>
    </row>
    <row r="377" spans="1:5" x14ac:dyDescent="0.25">
      <c r="B377" s="9"/>
      <c r="D377" s="10"/>
    </row>
    <row r="378" spans="1:5" x14ac:dyDescent="0.25">
      <c r="A378" s="13"/>
      <c r="B378" s="14"/>
      <c r="C378" s="13"/>
      <c r="D378" s="15"/>
      <c r="E378" s="13"/>
    </row>
    <row r="379" spans="1:5" x14ac:dyDescent="0.25">
      <c r="B379" s="9"/>
      <c r="D379" s="10"/>
    </row>
    <row r="380" spans="1:5" x14ac:dyDescent="0.25">
      <c r="A380" s="13"/>
      <c r="B380" s="14"/>
      <c r="C380" s="13"/>
      <c r="D380" s="15"/>
      <c r="E380" s="13"/>
    </row>
    <row r="381" spans="1:5" x14ac:dyDescent="0.25">
      <c r="B381" s="9"/>
      <c r="D381" s="10"/>
    </row>
    <row r="382" spans="1:5" x14ac:dyDescent="0.25">
      <c r="A382" s="13"/>
      <c r="B382" s="14"/>
      <c r="C382" s="13"/>
      <c r="D382" s="15"/>
      <c r="E382" s="13"/>
    </row>
    <row r="383" spans="1:5" x14ac:dyDescent="0.25">
      <c r="B383" s="9"/>
      <c r="D383" s="10"/>
    </row>
    <row r="384" spans="1:5" x14ac:dyDescent="0.25">
      <c r="A384" s="13"/>
      <c r="B384" s="14"/>
      <c r="C384" s="13"/>
      <c r="D384" s="15"/>
      <c r="E384" s="13"/>
    </row>
    <row r="385" spans="1:5" x14ac:dyDescent="0.25">
      <c r="B385" s="9"/>
      <c r="D385" s="10"/>
    </row>
    <row r="386" spans="1:5" x14ac:dyDescent="0.25">
      <c r="A386" s="13"/>
      <c r="B386" s="14"/>
      <c r="C386" s="13"/>
      <c r="D386" s="15"/>
      <c r="E386" s="13"/>
    </row>
    <row r="387" spans="1:5" x14ac:dyDescent="0.25">
      <c r="B387" s="9"/>
      <c r="D387" s="10"/>
    </row>
    <row r="388" spans="1:5" x14ac:dyDescent="0.25">
      <c r="A388" s="13"/>
      <c r="B388" s="14"/>
      <c r="C388" s="13"/>
      <c r="D388" s="15"/>
      <c r="E388" s="13"/>
    </row>
    <row r="389" spans="1:5" x14ac:dyDescent="0.25">
      <c r="B389" s="9"/>
      <c r="D389" s="10"/>
    </row>
    <row r="390" spans="1:5" x14ac:dyDescent="0.25">
      <c r="A390" s="13"/>
      <c r="B390" s="14"/>
      <c r="C390" s="13"/>
      <c r="D390" s="15"/>
      <c r="E390" s="13"/>
    </row>
    <row r="391" spans="1:5" x14ac:dyDescent="0.25">
      <c r="B391" s="9"/>
      <c r="D391" s="10"/>
    </row>
    <row r="392" spans="1:5" x14ac:dyDescent="0.25">
      <c r="A392" s="13"/>
      <c r="B392" s="14"/>
      <c r="C392" s="13"/>
      <c r="D392" s="15"/>
      <c r="E392" s="13"/>
    </row>
    <row r="393" spans="1:5" x14ac:dyDescent="0.25">
      <c r="B393" s="9"/>
      <c r="D393" s="10"/>
    </row>
    <row r="394" spans="1:5" x14ac:dyDescent="0.25">
      <c r="A394" s="13"/>
      <c r="B394" s="14"/>
      <c r="C394" s="13"/>
      <c r="D394" s="15"/>
      <c r="E394" s="13"/>
    </row>
    <row r="395" spans="1:5" x14ac:dyDescent="0.25">
      <c r="B395" s="9"/>
      <c r="D395" s="10"/>
    </row>
    <row r="396" spans="1:5" x14ac:dyDescent="0.25">
      <c r="A396" s="13"/>
      <c r="B396" s="14"/>
      <c r="C396" s="13"/>
      <c r="D396" s="15"/>
      <c r="E396" s="13"/>
    </row>
    <row r="397" spans="1:5" x14ac:dyDescent="0.25">
      <c r="B397" s="9"/>
      <c r="D397" s="10"/>
    </row>
    <row r="398" spans="1:5" x14ac:dyDescent="0.25">
      <c r="A398" s="13"/>
      <c r="B398" s="14"/>
      <c r="C398" s="13"/>
      <c r="D398" s="15"/>
      <c r="E398" s="13"/>
    </row>
    <row r="399" spans="1:5" x14ac:dyDescent="0.25">
      <c r="B399" s="9"/>
      <c r="D399" s="10"/>
    </row>
    <row r="400" spans="1:5" x14ac:dyDescent="0.25">
      <c r="A400" s="13"/>
      <c r="B400" s="14"/>
      <c r="C400" s="13"/>
      <c r="D400" s="15"/>
      <c r="E400" s="13"/>
    </row>
    <row r="401" spans="1:5" x14ac:dyDescent="0.25">
      <c r="B401" s="9"/>
      <c r="D401" s="10"/>
    </row>
    <row r="402" spans="1:5" x14ac:dyDescent="0.25">
      <c r="A402" s="13"/>
      <c r="B402" s="14"/>
      <c r="C402" s="13"/>
      <c r="D402" s="15"/>
      <c r="E402" s="13"/>
    </row>
    <row r="403" spans="1:5" x14ac:dyDescent="0.25">
      <c r="B403" s="9"/>
      <c r="D403" s="10"/>
    </row>
    <row r="404" spans="1:5" x14ac:dyDescent="0.25">
      <c r="A404" s="13"/>
      <c r="B404" s="14"/>
      <c r="C404" s="13"/>
      <c r="D404" s="15"/>
      <c r="E404" s="13"/>
    </row>
    <row r="405" spans="1:5" x14ac:dyDescent="0.25">
      <c r="B405" s="9"/>
      <c r="D405" s="10"/>
    </row>
    <row r="406" spans="1:5" x14ac:dyDescent="0.25">
      <c r="A406" s="13"/>
      <c r="B406" s="14"/>
      <c r="C406" s="13"/>
      <c r="D406" s="15"/>
      <c r="E406" s="13"/>
    </row>
    <row r="407" spans="1:5" x14ac:dyDescent="0.25">
      <c r="B407" s="9"/>
      <c r="D407" s="10"/>
    </row>
    <row r="408" spans="1:5" x14ac:dyDescent="0.25">
      <c r="A408" s="13"/>
      <c r="B408" s="14"/>
      <c r="C408" s="13"/>
      <c r="D408" s="15"/>
      <c r="E408" s="13"/>
    </row>
    <row r="409" spans="1:5" x14ac:dyDescent="0.25">
      <c r="B409" s="9"/>
      <c r="D409" s="10"/>
    </row>
    <row r="410" spans="1:5" x14ac:dyDescent="0.25">
      <c r="A410" s="13"/>
      <c r="B410" s="14"/>
      <c r="C410" s="13"/>
      <c r="D410" s="15"/>
      <c r="E410" s="13"/>
    </row>
    <row r="411" spans="1:5" x14ac:dyDescent="0.25">
      <c r="B411" s="9"/>
      <c r="D411" s="10"/>
    </row>
    <row r="412" spans="1:5" x14ac:dyDescent="0.25">
      <c r="A412" s="13"/>
      <c r="B412" s="14"/>
      <c r="C412" s="13"/>
      <c r="D412" s="15"/>
      <c r="E412" s="13"/>
    </row>
    <row r="413" spans="1:5" x14ac:dyDescent="0.25">
      <c r="B413" s="9"/>
      <c r="D413" s="10"/>
    </row>
    <row r="414" spans="1:5" x14ac:dyDescent="0.25">
      <c r="A414" s="13"/>
      <c r="B414" s="14"/>
      <c r="C414" s="13"/>
      <c r="D414" s="15"/>
      <c r="E414" s="13"/>
    </row>
    <row r="415" spans="1:5" x14ac:dyDescent="0.25">
      <c r="B415" s="9"/>
      <c r="D415" s="10"/>
    </row>
    <row r="416" spans="1:5" x14ac:dyDescent="0.25">
      <c r="A416" s="13"/>
      <c r="B416" s="14"/>
      <c r="C416" s="13"/>
      <c r="D416" s="15"/>
      <c r="E416" s="13"/>
    </row>
    <row r="417" spans="1:5" x14ac:dyDescent="0.25">
      <c r="B417" s="9"/>
      <c r="D417" s="10"/>
    </row>
    <row r="418" spans="1:5" x14ac:dyDescent="0.25">
      <c r="A418" s="13"/>
      <c r="B418" s="14"/>
      <c r="C418" s="13"/>
      <c r="D418" s="15"/>
      <c r="E418" s="13"/>
    </row>
    <row r="419" spans="1:5" x14ac:dyDescent="0.25">
      <c r="B419" s="9"/>
      <c r="D419" s="10"/>
    </row>
    <row r="420" spans="1:5" x14ac:dyDescent="0.25">
      <c r="A420" s="13"/>
      <c r="B420" s="14"/>
      <c r="C420" s="13"/>
      <c r="D420" s="15"/>
      <c r="E420" s="13"/>
    </row>
    <row r="421" spans="1:5" x14ac:dyDescent="0.25">
      <c r="B421" s="9"/>
      <c r="D421" s="10"/>
    </row>
    <row r="422" spans="1:5" x14ac:dyDescent="0.25">
      <c r="A422" s="13"/>
      <c r="B422" s="14"/>
      <c r="C422" s="13"/>
      <c r="D422" s="15"/>
      <c r="E422" s="13"/>
    </row>
    <row r="423" spans="1:5" x14ac:dyDescent="0.25">
      <c r="B423" s="9"/>
      <c r="D423" s="10"/>
    </row>
    <row r="424" spans="1:5" x14ac:dyDescent="0.25">
      <c r="A424" s="13"/>
      <c r="B424" s="14"/>
      <c r="C424" s="13"/>
      <c r="D424" s="15"/>
      <c r="E424" s="13"/>
    </row>
    <row r="425" spans="1:5" x14ac:dyDescent="0.25">
      <c r="B425" s="9"/>
      <c r="D425" s="10"/>
    </row>
    <row r="426" spans="1:5" x14ac:dyDescent="0.25">
      <c r="A426" s="13"/>
      <c r="B426" s="14"/>
      <c r="C426" s="13"/>
      <c r="D426" s="15"/>
      <c r="E426" s="13"/>
    </row>
    <row r="427" spans="1:5" x14ac:dyDescent="0.25">
      <c r="B427" s="9"/>
      <c r="D427" s="10"/>
    </row>
    <row r="428" spans="1:5" x14ac:dyDescent="0.25">
      <c r="A428" s="13"/>
      <c r="B428" s="14"/>
      <c r="C428" s="13"/>
      <c r="D428" s="15"/>
      <c r="E428" s="13"/>
    </row>
    <row r="429" spans="1:5" x14ac:dyDescent="0.25">
      <c r="B429" s="9"/>
      <c r="D429" s="10"/>
    </row>
    <row r="430" spans="1:5" x14ac:dyDescent="0.25">
      <c r="A430" s="13"/>
      <c r="B430" s="14"/>
      <c r="C430" s="13"/>
      <c r="D430" s="15"/>
      <c r="E430" s="13"/>
    </row>
    <row r="431" spans="1:5" x14ac:dyDescent="0.25">
      <c r="B431" s="9"/>
      <c r="D431" s="10"/>
    </row>
    <row r="432" spans="1:5" x14ac:dyDescent="0.25">
      <c r="A432" s="13"/>
      <c r="B432" s="14"/>
      <c r="C432" s="13"/>
      <c r="D432" s="15"/>
      <c r="E432" s="13"/>
    </row>
    <row r="433" spans="1:5" x14ac:dyDescent="0.25">
      <c r="B433" s="9"/>
      <c r="D433" s="10"/>
    </row>
    <row r="434" spans="1:5" x14ac:dyDescent="0.25">
      <c r="A434" s="13"/>
      <c r="B434" s="14"/>
      <c r="C434" s="13"/>
      <c r="D434" s="15"/>
      <c r="E434" s="13"/>
    </row>
    <row r="435" spans="1:5" x14ac:dyDescent="0.25">
      <c r="B435" s="9"/>
      <c r="D435" s="10"/>
    </row>
    <row r="436" spans="1:5" x14ac:dyDescent="0.25">
      <c r="A436" s="13"/>
      <c r="B436" s="14"/>
      <c r="C436" s="13"/>
      <c r="D436" s="15"/>
      <c r="E436" s="13"/>
    </row>
    <row r="437" spans="1:5" x14ac:dyDescent="0.25">
      <c r="B437" s="9"/>
      <c r="D437" s="10"/>
    </row>
    <row r="438" spans="1:5" x14ac:dyDescent="0.25">
      <c r="A438" s="13"/>
      <c r="B438" s="14"/>
      <c r="C438" s="13"/>
      <c r="D438" s="15"/>
      <c r="E438" s="13"/>
    </row>
    <row r="439" spans="1:5" x14ac:dyDescent="0.25">
      <c r="B439" s="9"/>
      <c r="D439" s="10"/>
    </row>
    <row r="440" spans="1:5" x14ac:dyDescent="0.25">
      <c r="A440" s="13"/>
      <c r="B440" s="14"/>
      <c r="C440" s="13"/>
      <c r="D440" s="15"/>
      <c r="E440" s="13"/>
    </row>
    <row r="441" spans="1:5" x14ac:dyDescent="0.25">
      <c r="B441" s="9"/>
      <c r="D441" s="10"/>
    </row>
    <row r="442" spans="1:5" x14ac:dyDescent="0.25">
      <c r="A442" s="13"/>
      <c r="B442" s="14"/>
      <c r="C442" s="13"/>
      <c r="D442" s="15"/>
      <c r="E442" s="13"/>
    </row>
    <row r="443" spans="1:5" x14ac:dyDescent="0.25">
      <c r="B443" s="9"/>
      <c r="D443" s="10"/>
    </row>
    <row r="444" spans="1:5" x14ac:dyDescent="0.25">
      <c r="A444" s="13"/>
      <c r="B444" s="14"/>
      <c r="C444" s="13"/>
      <c r="D444" s="15"/>
      <c r="E444" s="13"/>
    </row>
    <row r="445" spans="1:5" x14ac:dyDescent="0.25">
      <c r="B445" s="9"/>
      <c r="D445" s="10"/>
    </row>
    <row r="446" spans="1:5" x14ac:dyDescent="0.25">
      <c r="A446" s="13"/>
      <c r="B446" s="14"/>
      <c r="C446" s="13"/>
      <c r="D446" s="15"/>
      <c r="E446" s="13"/>
    </row>
    <row r="447" spans="1:5" x14ac:dyDescent="0.25">
      <c r="B447" s="9"/>
      <c r="D447" s="10"/>
    </row>
    <row r="448" spans="1:5" x14ac:dyDescent="0.25">
      <c r="A448" s="13"/>
      <c r="B448" s="14"/>
      <c r="C448" s="13"/>
      <c r="D448" s="15"/>
      <c r="E448" s="13"/>
    </row>
    <row r="449" spans="1:5" x14ac:dyDescent="0.25">
      <c r="B449" s="9"/>
      <c r="D449" s="10"/>
    </row>
    <row r="450" spans="1:5" x14ac:dyDescent="0.25">
      <c r="A450" s="13"/>
      <c r="B450" s="14"/>
      <c r="C450" s="13"/>
      <c r="D450" s="15"/>
      <c r="E450" s="13"/>
    </row>
    <row r="451" spans="1:5" x14ac:dyDescent="0.25">
      <c r="B451" s="9"/>
      <c r="D451" s="10"/>
    </row>
    <row r="452" spans="1:5" x14ac:dyDescent="0.25">
      <c r="A452" s="13"/>
      <c r="B452" s="14"/>
      <c r="C452" s="13"/>
      <c r="D452" s="15"/>
      <c r="E452" s="13"/>
    </row>
    <row r="453" spans="1:5" x14ac:dyDescent="0.25">
      <c r="B453" s="9"/>
      <c r="D453" s="10"/>
    </row>
    <row r="454" spans="1:5" x14ac:dyDescent="0.25">
      <c r="A454" s="13"/>
      <c r="B454" s="14"/>
      <c r="C454" s="13"/>
      <c r="D454" s="15"/>
      <c r="E454" s="13"/>
    </row>
    <row r="455" spans="1:5" x14ac:dyDescent="0.25">
      <c r="B455" s="9"/>
      <c r="D455" s="10"/>
    </row>
    <row r="456" spans="1:5" x14ac:dyDescent="0.25">
      <c r="A456" s="13"/>
      <c r="B456" s="14"/>
      <c r="C456" s="13"/>
      <c r="D456" s="15"/>
      <c r="E456" s="13"/>
    </row>
    <row r="457" spans="1:5" x14ac:dyDescent="0.25">
      <c r="B457" s="9"/>
      <c r="D457" s="10"/>
    </row>
    <row r="458" spans="1:5" x14ac:dyDescent="0.25">
      <c r="A458" s="13"/>
      <c r="B458" s="14"/>
      <c r="C458" s="13"/>
      <c r="D458" s="15"/>
      <c r="E458" s="13"/>
    </row>
    <row r="459" spans="1:5" x14ac:dyDescent="0.25">
      <c r="B459" s="9"/>
      <c r="D459" s="10"/>
    </row>
    <row r="460" spans="1:5" x14ac:dyDescent="0.25">
      <c r="A460" s="13"/>
      <c r="B460" s="14"/>
      <c r="C460" s="13"/>
      <c r="D460" s="15"/>
      <c r="E460" s="13"/>
    </row>
    <row r="461" spans="1:5" x14ac:dyDescent="0.25">
      <c r="B461" s="9"/>
      <c r="D461" s="10"/>
    </row>
    <row r="462" spans="1:5" x14ac:dyDescent="0.25">
      <c r="A462" s="13"/>
      <c r="B462" s="14"/>
      <c r="C462" s="13"/>
      <c r="D462" s="15"/>
      <c r="E462" s="13"/>
    </row>
    <row r="463" spans="1:5" x14ac:dyDescent="0.25">
      <c r="B463" s="9"/>
      <c r="D463" s="10"/>
    </row>
    <row r="464" spans="1:5" x14ac:dyDescent="0.25">
      <c r="A464" s="13"/>
      <c r="B464" s="14"/>
      <c r="C464" s="13"/>
      <c r="D464" s="15"/>
      <c r="E464" s="13"/>
    </row>
    <row r="465" spans="1:5" x14ac:dyDescent="0.25">
      <c r="B465" s="9"/>
      <c r="D465" s="10"/>
    </row>
    <row r="466" spans="1:5" x14ac:dyDescent="0.25">
      <c r="A466" s="13"/>
      <c r="B466" s="14"/>
      <c r="C466" s="13"/>
      <c r="D466" s="15"/>
      <c r="E466" s="13"/>
    </row>
    <row r="467" spans="1:5" x14ac:dyDescent="0.25">
      <c r="B467" s="9"/>
      <c r="D467" s="10"/>
    </row>
    <row r="468" spans="1:5" x14ac:dyDescent="0.25">
      <c r="A468" s="13"/>
      <c r="B468" s="14"/>
      <c r="C468" s="13"/>
      <c r="D468" s="15"/>
      <c r="E468" s="13"/>
    </row>
    <row r="469" spans="1:5" x14ac:dyDescent="0.25">
      <c r="B469" s="9"/>
      <c r="D469" s="10"/>
    </row>
    <row r="470" spans="1:5" x14ac:dyDescent="0.25">
      <c r="A470" s="13"/>
      <c r="B470" s="14"/>
      <c r="C470" s="13"/>
      <c r="D470" s="15"/>
      <c r="E470" s="13"/>
    </row>
    <row r="471" spans="1:5" x14ac:dyDescent="0.25">
      <c r="B471" s="9"/>
      <c r="D471" s="10"/>
    </row>
    <row r="472" spans="1:5" x14ac:dyDescent="0.25">
      <c r="A472" s="13"/>
      <c r="B472" s="14"/>
      <c r="C472" s="13"/>
      <c r="D472" s="15"/>
      <c r="E472" s="13"/>
    </row>
    <row r="473" spans="1:5" x14ac:dyDescent="0.25">
      <c r="B473" s="9"/>
      <c r="D473" s="10"/>
    </row>
    <row r="474" spans="1:5" x14ac:dyDescent="0.25">
      <c r="A474" s="13"/>
      <c r="B474" s="14"/>
      <c r="C474" s="13"/>
      <c r="D474" s="15"/>
      <c r="E474" s="13"/>
    </row>
    <row r="475" spans="1:5" x14ac:dyDescent="0.25">
      <c r="B475" s="9"/>
      <c r="D475" s="10"/>
    </row>
    <row r="476" spans="1:5" x14ac:dyDescent="0.25">
      <c r="A476" s="13"/>
      <c r="B476" s="14"/>
      <c r="C476" s="13"/>
      <c r="D476" s="15"/>
      <c r="E476" s="13"/>
    </row>
    <row r="477" spans="1:5" x14ac:dyDescent="0.25">
      <c r="B477" s="9"/>
      <c r="D477" s="10"/>
    </row>
    <row r="478" spans="1:5" x14ac:dyDescent="0.25">
      <c r="A478" s="13"/>
      <c r="B478" s="14"/>
      <c r="C478" s="13"/>
      <c r="D478" s="15"/>
      <c r="E478" s="13"/>
    </row>
    <row r="479" spans="1:5" x14ac:dyDescent="0.25">
      <c r="B479" s="9"/>
      <c r="D479" s="10"/>
    </row>
    <row r="480" spans="1:5" x14ac:dyDescent="0.25">
      <c r="A480" s="13"/>
      <c r="B480" s="14"/>
      <c r="C480" s="13"/>
      <c r="D480" s="15"/>
      <c r="E480" s="13"/>
    </row>
    <row r="481" spans="1:5" x14ac:dyDescent="0.25">
      <c r="B481" s="9"/>
      <c r="D481" s="10"/>
    </row>
    <row r="482" spans="1:5" x14ac:dyDescent="0.25">
      <c r="A482" s="13"/>
      <c r="B482" s="14"/>
      <c r="C482" s="13"/>
      <c r="D482" s="15"/>
      <c r="E482" s="13"/>
    </row>
    <row r="483" spans="1:5" x14ac:dyDescent="0.25">
      <c r="B483" s="9"/>
      <c r="D483" s="10"/>
    </row>
    <row r="484" spans="1:5" x14ac:dyDescent="0.25">
      <c r="A484" s="13"/>
      <c r="B484" s="14"/>
      <c r="C484" s="13"/>
      <c r="D484" s="15"/>
      <c r="E484" s="13"/>
    </row>
    <row r="485" spans="1:5" x14ac:dyDescent="0.25">
      <c r="B485" s="9"/>
      <c r="D485" s="10"/>
    </row>
    <row r="486" spans="1:5" x14ac:dyDescent="0.25">
      <c r="A486" s="13"/>
      <c r="B486" s="14"/>
      <c r="C486" s="13"/>
      <c r="D486" s="15"/>
      <c r="E486" s="13"/>
    </row>
    <row r="487" spans="1:5" x14ac:dyDescent="0.25">
      <c r="B487" s="9"/>
      <c r="D487" s="10"/>
    </row>
    <row r="488" spans="1:5" x14ac:dyDescent="0.25">
      <c r="A488" s="13"/>
      <c r="B488" s="14"/>
      <c r="C488" s="13"/>
      <c r="D488" s="15"/>
      <c r="E488" s="13"/>
    </row>
    <row r="489" spans="1:5" x14ac:dyDescent="0.25">
      <c r="B489" s="9"/>
      <c r="D489" s="10"/>
    </row>
    <row r="490" spans="1:5" x14ac:dyDescent="0.25">
      <c r="A490" s="13"/>
      <c r="B490" s="14"/>
      <c r="C490" s="13"/>
      <c r="D490" s="15"/>
      <c r="E490" s="13"/>
    </row>
    <row r="491" spans="1:5" x14ac:dyDescent="0.25">
      <c r="B491" s="9"/>
      <c r="D491" s="10"/>
    </row>
    <row r="492" spans="1:5" x14ac:dyDescent="0.25">
      <c r="A492" s="13"/>
      <c r="B492" s="14"/>
      <c r="C492" s="13"/>
      <c r="D492" s="15"/>
      <c r="E492" s="13"/>
    </row>
    <row r="493" spans="1:5" x14ac:dyDescent="0.25">
      <c r="B493" s="9"/>
      <c r="D493" s="10"/>
    </row>
    <row r="494" spans="1:5" x14ac:dyDescent="0.25">
      <c r="A494" s="13"/>
      <c r="B494" s="14"/>
      <c r="C494" s="13"/>
      <c r="D494" s="15"/>
      <c r="E494" s="13"/>
    </row>
    <row r="495" spans="1:5" x14ac:dyDescent="0.25">
      <c r="B495" s="9"/>
      <c r="D495" s="10"/>
    </row>
    <row r="496" spans="1:5" x14ac:dyDescent="0.25">
      <c r="A496" s="13"/>
      <c r="B496" s="14"/>
      <c r="C496" s="13"/>
      <c r="D496" s="15"/>
      <c r="E496" s="13"/>
    </row>
    <row r="497" spans="1:5" x14ac:dyDescent="0.25">
      <c r="B497" s="9"/>
      <c r="D497" s="10"/>
    </row>
    <row r="498" spans="1:5" x14ac:dyDescent="0.25">
      <c r="A498" s="13"/>
      <c r="B498" s="14"/>
      <c r="C498" s="13"/>
      <c r="D498" s="15"/>
      <c r="E498" s="13"/>
    </row>
    <row r="499" spans="1:5" x14ac:dyDescent="0.25">
      <c r="B499" s="9"/>
      <c r="D499" s="10"/>
    </row>
    <row r="500" spans="1:5" x14ac:dyDescent="0.25">
      <c r="A500" s="13"/>
      <c r="B500" s="14"/>
      <c r="C500" s="13"/>
      <c r="D500" s="15"/>
      <c r="E500" s="13"/>
    </row>
    <row r="501" spans="1:5" x14ac:dyDescent="0.25">
      <c r="B501" s="9"/>
      <c r="D501" s="10"/>
    </row>
    <row r="502" spans="1:5" x14ac:dyDescent="0.25">
      <c r="A502" s="13"/>
      <c r="B502" s="14"/>
      <c r="C502" s="13"/>
      <c r="D502" s="15"/>
      <c r="E502" s="13"/>
    </row>
    <row r="503" spans="1:5" x14ac:dyDescent="0.25">
      <c r="B503" s="9"/>
      <c r="D503" s="10"/>
    </row>
    <row r="504" spans="1:5" x14ac:dyDescent="0.25">
      <c r="A504" s="13"/>
      <c r="B504" s="14"/>
      <c r="C504" s="13"/>
      <c r="D504" s="15"/>
      <c r="E504" s="13"/>
    </row>
    <row r="505" spans="1:5" x14ac:dyDescent="0.25">
      <c r="B505" s="9"/>
      <c r="D505" s="10"/>
    </row>
    <row r="506" spans="1:5" x14ac:dyDescent="0.25">
      <c r="A506" s="13"/>
      <c r="B506" s="14"/>
      <c r="C506" s="13"/>
      <c r="D506" s="15"/>
      <c r="E506" s="13"/>
    </row>
    <row r="507" spans="1:5" x14ac:dyDescent="0.25">
      <c r="B507" s="9"/>
      <c r="D507" s="10"/>
    </row>
    <row r="508" spans="1:5" x14ac:dyDescent="0.25">
      <c r="A508" s="13"/>
      <c r="B508" s="14"/>
      <c r="C508" s="13"/>
      <c r="D508" s="15"/>
      <c r="E508" s="13"/>
    </row>
    <row r="509" spans="1:5" x14ac:dyDescent="0.25">
      <c r="B509" s="9"/>
      <c r="D509" s="10"/>
    </row>
    <row r="510" spans="1:5" x14ac:dyDescent="0.25">
      <c r="A510" s="13"/>
      <c r="B510" s="14"/>
      <c r="C510" s="13"/>
      <c r="D510" s="15"/>
      <c r="E510" s="13"/>
    </row>
    <row r="511" spans="1:5" x14ac:dyDescent="0.25">
      <c r="B511" s="9"/>
      <c r="D511" s="10"/>
    </row>
    <row r="512" spans="1:5" x14ac:dyDescent="0.25">
      <c r="A512" s="13"/>
      <c r="B512" s="14"/>
      <c r="C512" s="13"/>
      <c r="D512" s="15"/>
      <c r="E512" s="13"/>
    </row>
    <row r="513" spans="1:5" x14ac:dyDescent="0.25">
      <c r="B513" s="9"/>
      <c r="D513" s="10"/>
    </row>
    <row r="514" spans="1:5" x14ac:dyDescent="0.25">
      <c r="A514" s="13"/>
      <c r="B514" s="14"/>
      <c r="C514" s="13"/>
      <c r="D514" s="15"/>
      <c r="E514" s="13"/>
    </row>
    <row r="515" spans="1:5" x14ac:dyDescent="0.25">
      <c r="B515" s="9"/>
      <c r="D515" s="10"/>
    </row>
    <row r="516" spans="1:5" x14ac:dyDescent="0.25">
      <c r="A516" s="13"/>
      <c r="B516" s="14"/>
      <c r="C516" s="13"/>
      <c r="D516" s="15"/>
      <c r="E516" s="13"/>
    </row>
    <row r="517" spans="1:5" x14ac:dyDescent="0.25">
      <c r="B517" s="9"/>
      <c r="D517" s="10"/>
    </row>
    <row r="518" spans="1:5" x14ac:dyDescent="0.25">
      <c r="A518" s="13"/>
      <c r="B518" s="14"/>
      <c r="C518" s="13"/>
      <c r="D518" s="15"/>
      <c r="E518" s="13"/>
    </row>
    <row r="519" spans="1:5" x14ac:dyDescent="0.25">
      <c r="B519" s="9"/>
      <c r="D519" s="10"/>
    </row>
    <row r="520" spans="1:5" x14ac:dyDescent="0.25">
      <c r="A520" s="13"/>
      <c r="B520" s="14"/>
      <c r="C520" s="13"/>
      <c r="D520" s="15"/>
      <c r="E520" s="13"/>
    </row>
    <row r="521" spans="1:5" x14ac:dyDescent="0.25">
      <c r="B521" s="9"/>
      <c r="D521" s="10"/>
    </row>
    <row r="522" spans="1:5" x14ac:dyDescent="0.25">
      <c r="A522" s="13"/>
      <c r="B522" s="14"/>
      <c r="C522" s="13"/>
      <c r="D522" s="15"/>
      <c r="E522" s="13"/>
    </row>
    <row r="523" spans="1:5" x14ac:dyDescent="0.25">
      <c r="B523" s="9"/>
      <c r="D523" s="10"/>
    </row>
    <row r="524" spans="1:5" x14ac:dyDescent="0.25">
      <c r="A524" s="13"/>
      <c r="B524" s="14"/>
      <c r="C524" s="13"/>
      <c r="D524" s="15"/>
      <c r="E524" s="13"/>
    </row>
    <row r="525" spans="1:5" x14ac:dyDescent="0.25">
      <c r="B525" s="9"/>
      <c r="D525" s="10"/>
    </row>
    <row r="526" spans="1:5" x14ac:dyDescent="0.25">
      <c r="A526" s="13"/>
      <c r="B526" s="14"/>
      <c r="C526" s="13"/>
      <c r="D526" s="15"/>
      <c r="E526" s="13"/>
    </row>
    <row r="527" spans="1:5" x14ac:dyDescent="0.25">
      <c r="B527" s="9"/>
      <c r="D527" s="10"/>
    </row>
    <row r="528" spans="1:5" x14ac:dyDescent="0.25">
      <c r="A528" s="13"/>
      <c r="B528" s="14"/>
      <c r="C528" s="13"/>
      <c r="D528" s="15"/>
      <c r="E528" s="13"/>
    </row>
    <row r="529" spans="1:5" x14ac:dyDescent="0.25">
      <c r="B529" s="9"/>
      <c r="D529" s="10"/>
    </row>
    <row r="530" spans="1:5" x14ac:dyDescent="0.25">
      <c r="A530" s="13"/>
      <c r="B530" s="14"/>
      <c r="C530" s="13"/>
      <c r="D530" s="15"/>
      <c r="E530" s="13"/>
    </row>
    <row r="531" spans="1:5" x14ac:dyDescent="0.25">
      <c r="B531" s="9"/>
      <c r="D531" s="10"/>
    </row>
    <row r="532" spans="1:5" x14ac:dyDescent="0.25">
      <c r="A532" s="13"/>
      <c r="B532" s="14"/>
      <c r="C532" s="13"/>
      <c r="D532" s="15"/>
      <c r="E532" s="13"/>
    </row>
    <row r="533" spans="1:5" x14ac:dyDescent="0.25">
      <c r="B533" s="9"/>
      <c r="D533" s="10"/>
    </row>
    <row r="534" spans="1:5" x14ac:dyDescent="0.25">
      <c r="A534" s="13"/>
      <c r="B534" s="14"/>
      <c r="C534" s="13"/>
      <c r="D534" s="15"/>
      <c r="E534" s="13"/>
    </row>
    <row r="535" spans="1:5" x14ac:dyDescent="0.25">
      <c r="B535" s="9"/>
      <c r="D535" s="10"/>
    </row>
    <row r="536" spans="1:5" x14ac:dyDescent="0.25">
      <c r="A536" s="13"/>
      <c r="B536" s="14"/>
      <c r="C536" s="13"/>
      <c r="D536" s="15"/>
      <c r="E536" s="13"/>
    </row>
    <row r="537" spans="1:5" x14ac:dyDescent="0.25">
      <c r="B537" s="9"/>
      <c r="D537" s="10"/>
    </row>
    <row r="538" spans="1:5" x14ac:dyDescent="0.25">
      <c r="A538" s="13"/>
      <c r="B538" s="14"/>
      <c r="C538" s="13"/>
      <c r="D538" s="15"/>
      <c r="E538" s="13"/>
    </row>
    <row r="539" spans="1:5" x14ac:dyDescent="0.25">
      <c r="B539" s="9"/>
      <c r="D539" s="10"/>
    </row>
    <row r="540" spans="1:5" x14ac:dyDescent="0.25">
      <c r="A540" s="13"/>
      <c r="B540" s="14"/>
      <c r="C540" s="13"/>
      <c r="D540" s="15"/>
      <c r="E540" s="13"/>
    </row>
    <row r="541" spans="1:5" x14ac:dyDescent="0.25">
      <c r="B541" s="9"/>
      <c r="D541" s="10"/>
    </row>
    <row r="542" spans="1:5" x14ac:dyDescent="0.25">
      <c r="A542" s="13"/>
      <c r="B542" s="14"/>
      <c r="C542" s="13"/>
      <c r="D542" s="15"/>
      <c r="E542" s="13"/>
    </row>
    <row r="543" spans="1:5" x14ac:dyDescent="0.25">
      <c r="B543" s="9"/>
      <c r="D543" s="10"/>
    </row>
    <row r="544" spans="1:5" x14ac:dyDescent="0.25">
      <c r="A544" s="13"/>
      <c r="B544" s="14"/>
      <c r="C544" s="13"/>
      <c r="D544" s="15"/>
      <c r="E544" s="13"/>
    </row>
    <row r="545" spans="1:5" x14ac:dyDescent="0.25">
      <c r="B545" s="9"/>
      <c r="D545" s="10"/>
    </row>
    <row r="546" spans="1:5" x14ac:dyDescent="0.25">
      <c r="A546" s="13"/>
      <c r="B546" s="14"/>
      <c r="C546" s="13"/>
      <c r="D546" s="15"/>
      <c r="E546" s="13"/>
    </row>
    <row r="547" spans="1:5" x14ac:dyDescent="0.25">
      <c r="B547" s="9"/>
      <c r="D547" s="10"/>
    </row>
    <row r="548" spans="1:5" x14ac:dyDescent="0.25">
      <c r="A548" s="13"/>
      <c r="B548" s="14"/>
      <c r="C548" s="13"/>
      <c r="D548" s="15"/>
      <c r="E548" s="13"/>
    </row>
    <row r="549" spans="1:5" x14ac:dyDescent="0.25">
      <c r="B549" s="9"/>
      <c r="D549" s="10"/>
    </row>
    <row r="550" spans="1:5" x14ac:dyDescent="0.25">
      <c r="A550" s="13"/>
      <c r="B550" s="14"/>
      <c r="C550" s="13"/>
      <c r="D550" s="15"/>
      <c r="E550" s="13"/>
    </row>
    <row r="551" spans="1:5" x14ac:dyDescent="0.25">
      <c r="B551" s="9"/>
      <c r="D551" s="10"/>
    </row>
    <row r="552" spans="1:5" x14ac:dyDescent="0.25">
      <c r="A552" s="13"/>
      <c r="B552" s="14"/>
      <c r="C552" s="13"/>
      <c r="D552" s="15"/>
      <c r="E552" s="13"/>
    </row>
    <row r="553" spans="1:5" x14ac:dyDescent="0.25">
      <c r="B553" s="9"/>
      <c r="D553" s="10"/>
    </row>
    <row r="554" spans="1:5" x14ac:dyDescent="0.25">
      <c r="A554" s="13"/>
      <c r="B554" s="14"/>
      <c r="C554" s="13"/>
      <c r="D554" s="15"/>
      <c r="E554" s="13"/>
    </row>
    <row r="555" spans="1:5" x14ac:dyDescent="0.25">
      <c r="B555" s="9"/>
      <c r="D555" s="10"/>
    </row>
    <row r="556" spans="1:5" x14ac:dyDescent="0.25">
      <c r="A556" s="13"/>
      <c r="B556" s="14"/>
      <c r="C556" s="13"/>
      <c r="D556" s="15"/>
      <c r="E556" s="13"/>
    </row>
    <row r="557" spans="1:5" x14ac:dyDescent="0.25">
      <c r="B557" s="9"/>
      <c r="D557" s="10"/>
    </row>
    <row r="558" spans="1:5" x14ac:dyDescent="0.25">
      <c r="A558" s="13"/>
      <c r="B558" s="14"/>
      <c r="C558" s="13"/>
      <c r="D558" s="15"/>
      <c r="E558" s="13"/>
    </row>
    <row r="559" spans="1:5" x14ac:dyDescent="0.25">
      <c r="B559" s="9"/>
      <c r="D559" s="10"/>
    </row>
    <row r="560" spans="1:5" x14ac:dyDescent="0.25">
      <c r="A560" s="13"/>
      <c r="B560" s="14"/>
      <c r="C560" s="13"/>
      <c r="D560" s="15"/>
      <c r="E560" s="13"/>
    </row>
    <row r="561" spans="1:5" x14ac:dyDescent="0.25">
      <c r="B561" s="9"/>
      <c r="D561" s="10"/>
    </row>
    <row r="562" spans="1:5" x14ac:dyDescent="0.25">
      <c r="A562" s="13"/>
      <c r="B562" s="14"/>
      <c r="C562" s="13"/>
      <c r="D562" s="15"/>
      <c r="E562" s="13"/>
    </row>
    <row r="563" spans="1:5" x14ac:dyDescent="0.25">
      <c r="B563" s="9"/>
      <c r="D563" s="10"/>
    </row>
    <row r="564" spans="1:5" x14ac:dyDescent="0.25">
      <c r="A564" s="13"/>
      <c r="B564" s="14"/>
      <c r="C564" s="13"/>
      <c r="D564" s="15"/>
      <c r="E564" s="13"/>
    </row>
    <row r="565" spans="1:5" x14ac:dyDescent="0.25">
      <c r="B565" s="9"/>
      <c r="D565" s="10"/>
    </row>
    <row r="566" spans="1:5" x14ac:dyDescent="0.25">
      <c r="A566" s="13"/>
      <c r="B566" s="14"/>
      <c r="C566" s="13"/>
      <c r="D566" s="15"/>
      <c r="E566" s="13"/>
    </row>
    <row r="567" spans="1:5" x14ac:dyDescent="0.25">
      <c r="B567" s="9"/>
      <c r="D567" s="10"/>
    </row>
    <row r="568" spans="1:5" x14ac:dyDescent="0.25">
      <c r="A568" s="13"/>
      <c r="B568" s="14"/>
      <c r="C568" s="13"/>
      <c r="D568" s="15"/>
      <c r="E568" s="13"/>
    </row>
    <row r="569" spans="1:5" x14ac:dyDescent="0.25">
      <c r="B569" s="9"/>
      <c r="D569" s="10"/>
    </row>
    <row r="570" spans="1:5" x14ac:dyDescent="0.25">
      <c r="A570" s="13"/>
      <c r="B570" s="14"/>
      <c r="C570" s="13"/>
      <c r="D570" s="15"/>
      <c r="E570" s="13"/>
    </row>
    <row r="571" spans="1:5" x14ac:dyDescent="0.25">
      <c r="B571" s="9"/>
      <c r="D571" s="10"/>
    </row>
    <row r="572" spans="1:5" x14ac:dyDescent="0.25">
      <c r="A572" s="13"/>
      <c r="B572" s="14"/>
      <c r="C572" s="13"/>
      <c r="D572" s="15"/>
      <c r="E572" s="13"/>
    </row>
    <row r="573" spans="1:5" x14ac:dyDescent="0.25">
      <c r="B573" s="9"/>
      <c r="D573" s="10"/>
    </row>
    <row r="574" spans="1:5" x14ac:dyDescent="0.25">
      <c r="A574" s="13"/>
      <c r="B574" s="14"/>
      <c r="C574" s="13"/>
      <c r="D574" s="15"/>
      <c r="E574" s="13"/>
    </row>
    <row r="575" spans="1:5" x14ac:dyDescent="0.25">
      <c r="B575" s="9"/>
      <c r="D575" s="10"/>
    </row>
    <row r="576" spans="1:5" x14ac:dyDescent="0.25">
      <c r="A576" s="13"/>
      <c r="B576" s="14"/>
      <c r="C576" s="13"/>
      <c r="D576" s="15"/>
      <c r="E576" s="13"/>
    </row>
    <row r="577" spans="1:5" x14ac:dyDescent="0.25">
      <c r="B577" s="9"/>
      <c r="D577" s="10"/>
    </row>
    <row r="578" spans="1:5" x14ac:dyDescent="0.25">
      <c r="A578" s="13"/>
      <c r="B578" s="14"/>
      <c r="C578" s="13"/>
      <c r="D578" s="15"/>
      <c r="E578" s="13"/>
    </row>
    <row r="579" spans="1:5" x14ac:dyDescent="0.25">
      <c r="B579" s="9"/>
      <c r="D579" s="10"/>
    </row>
    <row r="580" spans="1:5" x14ac:dyDescent="0.25">
      <c r="A580" s="13"/>
      <c r="B580" s="14"/>
      <c r="C580" s="13"/>
      <c r="D580" s="15"/>
      <c r="E580" s="13"/>
    </row>
    <row r="581" spans="1:5" x14ac:dyDescent="0.25">
      <c r="B581" s="9"/>
      <c r="D581" s="10"/>
    </row>
    <row r="582" spans="1:5" x14ac:dyDescent="0.25">
      <c r="A582" s="13"/>
      <c r="B582" s="14"/>
      <c r="C582" s="13"/>
      <c r="D582" s="15"/>
      <c r="E582" s="13"/>
    </row>
    <row r="583" spans="1:5" x14ac:dyDescent="0.25">
      <c r="B583" s="9"/>
      <c r="D583" s="10"/>
    </row>
    <row r="584" spans="1:5" x14ac:dyDescent="0.25">
      <c r="A584" s="13"/>
      <c r="B584" s="14"/>
      <c r="C584" s="13"/>
      <c r="D584" s="15"/>
      <c r="E584" s="13"/>
    </row>
    <row r="585" spans="1:5" x14ac:dyDescent="0.25">
      <c r="B585" s="9"/>
      <c r="D585" s="10"/>
    </row>
    <row r="586" spans="1:5" x14ac:dyDescent="0.25">
      <c r="A586" s="13"/>
      <c r="B586" s="14"/>
      <c r="C586" s="13"/>
      <c r="D586" s="15"/>
      <c r="E586" s="13"/>
    </row>
    <row r="587" spans="1:5" x14ac:dyDescent="0.25">
      <c r="B587" s="9"/>
      <c r="D587" s="10"/>
    </row>
    <row r="588" spans="1:5" x14ac:dyDescent="0.25">
      <c r="A588" s="13"/>
      <c r="B588" s="14"/>
      <c r="C588" s="13"/>
      <c r="D588" s="15"/>
      <c r="E588" s="13"/>
    </row>
    <row r="589" spans="1:5" x14ac:dyDescent="0.25">
      <c r="B589" s="9"/>
      <c r="D589" s="10"/>
    </row>
    <row r="590" spans="1:5" x14ac:dyDescent="0.25">
      <c r="A590" s="13"/>
      <c r="B590" s="14"/>
      <c r="C590" s="13"/>
      <c r="D590" s="15"/>
      <c r="E590" s="13"/>
    </row>
    <row r="591" spans="1:5" x14ac:dyDescent="0.25">
      <c r="B591" s="9"/>
      <c r="D591" s="10"/>
    </row>
    <row r="592" spans="1:5" x14ac:dyDescent="0.25">
      <c r="A592" s="13"/>
      <c r="B592" s="14"/>
      <c r="C592" s="13"/>
      <c r="D592" s="15"/>
      <c r="E592" s="13"/>
    </row>
    <row r="593" spans="1:5" x14ac:dyDescent="0.25">
      <c r="B593" s="9"/>
      <c r="D593" s="10"/>
    </row>
    <row r="594" spans="1:5" x14ac:dyDescent="0.25">
      <c r="A594" s="13"/>
      <c r="B594" s="14"/>
      <c r="C594" s="13"/>
      <c r="D594" s="15"/>
      <c r="E594" s="13"/>
    </row>
    <row r="595" spans="1:5" x14ac:dyDescent="0.25">
      <c r="B595" s="9"/>
      <c r="D595" s="10"/>
    </row>
    <row r="596" spans="1:5" x14ac:dyDescent="0.25">
      <c r="A596" s="13"/>
      <c r="B596" s="14"/>
      <c r="C596" s="13"/>
      <c r="D596" s="15"/>
      <c r="E596" s="13"/>
    </row>
    <row r="597" spans="1:5" x14ac:dyDescent="0.25">
      <c r="B597" s="9"/>
      <c r="D597" s="10"/>
    </row>
    <row r="598" spans="1:5" x14ac:dyDescent="0.25">
      <c r="A598" s="13"/>
      <c r="B598" s="14"/>
      <c r="C598" s="13"/>
      <c r="D598" s="15"/>
      <c r="E598" s="13"/>
    </row>
    <row r="599" spans="1:5" x14ac:dyDescent="0.25">
      <c r="B599" s="9"/>
      <c r="D599" s="10"/>
    </row>
    <row r="600" spans="1:5" x14ac:dyDescent="0.25">
      <c r="A600" s="13"/>
      <c r="B600" s="14"/>
      <c r="C600" s="13"/>
      <c r="D600" s="15"/>
      <c r="E600" s="13"/>
    </row>
    <row r="601" spans="1:5" x14ac:dyDescent="0.25">
      <c r="B601" s="9"/>
      <c r="D601" s="10"/>
    </row>
    <row r="602" spans="1:5" x14ac:dyDescent="0.25">
      <c r="A602" s="13"/>
      <c r="B602" s="14"/>
      <c r="C602" s="13"/>
      <c r="D602" s="15"/>
      <c r="E602" s="13"/>
    </row>
    <row r="603" spans="1:5" x14ac:dyDescent="0.25">
      <c r="B603" s="9"/>
      <c r="D603" s="10"/>
    </row>
    <row r="604" spans="1:5" x14ac:dyDescent="0.25">
      <c r="A604" s="13"/>
      <c r="B604" s="14"/>
      <c r="C604" s="13"/>
      <c r="D604" s="15"/>
      <c r="E604" s="13"/>
    </row>
    <row r="605" spans="1:5" x14ac:dyDescent="0.25">
      <c r="B605" s="9"/>
      <c r="D605" s="10"/>
    </row>
    <row r="606" spans="1:5" x14ac:dyDescent="0.25">
      <c r="A606" s="13"/>
      <c r="B606" s="14"/>
      <c r="C606" s="13"/>
      <c r="D606" s="15"/>
      <c r="E606" s="13"/>
    </row>
    <row r="607" spans="1:5" x14ac:dyDescent="0.25">
      <c r="B607" s="9"/>
      <c r="D607" s="10"/>
    </row>
    <row r="608" spans="1:5" x14ac:dyDescent="0.25">
      <c r="A608" s="13"/>
      <c r="B608" s="14"/>
      <c r="C608" s="13"/>
      <c r="D608" s="15"/>
      <c r="E608" s="13"/>
    </row>
    <row r="609" spans="1:5" x14ac:dyDescent="0.25">
      <c r="B609" s="9"/>
      <c r="D609" s="10"/>
    </row>
    <row r="610" spans="1:5" x14ac:dyDescent="0.25">
      <c r="A610" s="13"/>
      <c r="B610" s="14"/>
      <c r="C610" s="13"/>
      <c r="D610" s="15"/>
      <c r="E610" s="13"/>
    </row>
    <row r="611" spans="1:5" x14ac:dyDescent="0.25">
      <c r="B611" s="9"/>
      <c r="D611" s="10"/>
    </row>
    <row r="612" spans="1:5" x14ac:dyDescent="0.25">
      <c r="A612" s="13"/>
      <c r="B612" s="14"/>
      <c r="C612" s="13"/>
      <c r="D612" s="15"/>
      <c r="E612" s="13"/>
    </row>
    <row r="613" spans="1:5" x14ac:dyDescent="0.25">
      <c r="B613" s="9"/>
      <c r="D613" s="10"/>
    </row>
    <row r="614" spans="1:5" x14ac:dyDescent="0.25">
      <c r="A614" s="13"/>
      <c r="B614" s="14"/>
      <c r="C614" s="13"/>
      <c r="D614" s="15"/>
      <c r="E614" s="13"/>
    </row>
    <row r="615" spans="1:5" x14ac:dyDescent="0.25">
      <c r="B615" s="9"/>
      <c r="D615" s="10"/>
    </row>
    <row r="616" spans="1:5" x14ac:dyDescent="0.25">
      <c r="A616" s="13"/>
      <c r="B616" s="14"/>
      <c r="C616" s="13"/>
      <c r="D616" s="15"/>
      <c r="E616" s="13"/>
    </row>
    <row r="617" spans="1:5" x14ac:dyDescent="0.25">
      <c r="B617" s="9"/>
      <c r="D617" s="10"/>
    </row>
    <row r="618" spans="1:5" x14ac:dyDescent="0.25">
      <c r="A618" s="13"/>
      <c r="B618" s="14"/>
      <c r="C618" s="13"/>
      <c r="D618" s="15"/>
      <c r="E618" s="13"/>
    </row>
    <row r="619" spans="1:5" x14ac:dyDescent="0.25">
      <c r="B619" s="9"/>
      <c r="D619" s="10"/>
    </row>
    <row r="620" spans="1:5" x14ac:dyDescent="0.25">
      <c r="A620" s="13"/>
      <c r="B620" s="14"/>
      <c r="C620" s="13"/>
      <c r="D620" s="15"/>
      <c r="E620" s="13"/>
    </row>
    <row r="621" spans="1:5" x14ac:dyDescent="0.25">
      <c r="B621" s="9"/>
      <c r="D621" s="10"/>
    </row>
    <row r="622" spans="1:5" x14ac:dyDescent="0.25">
      <c r="A622" s="13"/>
      <c r="B622" s="14"/>
      <c r="C622" s="13"/>
      <c r="D622" s="15"/>
      <c r="E622" s="13"/>
    </row>
    <row r="623" spans="1:5" x14ac:dyDescent="0.25">
      <c r="B623" s="9"/>
      <c r="D623" s="10"/>
    </row>
    <row r="624" spans="1:5" x14ac:dyDescent="0.25">
      <c r="A624" s="13"/>
      <c r="B624" s="14"/>
      <c r="C624" s="13"/>
      <c r="D624" s="15"/>
      <c r="E624" s="13"/>
    </row>
    <row r="625" spans="1:5" x14ac:dyDescent="0.25">
      <c r="B625" s="9"/>
      <c r="D625" s="10"/>
    </row>
    <row r="626" spans="1:5" x14ac:dyDescent="0.25">
      <c r="A626" s="13"/>
      <c r="B626" s="14"/>
      <c r="C626" s="13"/>
      <c r="D626" s="15"/>
      <c r="E626" s="13"/>
    </row>
    <row r="627" spans="1:5" x14ac:dyDescent="0.25">
      <c r="B627" s="9"/>
      <c r="D627" s="10"/>
    </row>
    <row r="628" spans="1:5" x14ac:dyDescent="0.25">
      <c r="A628" s="13"/>
      <c r="B628" s="14"/>
      <c r="C628" s="13"/>
      <c r="D628" s="15"/>
      <c r="E628" s="13"/>
    </row>
    <row r="629" spans="1:5" x14ac:dyDescent="0.25">
      <c r="B629" s="9"/>
      <c r="D629" s="10"/>
    </row>
    <row r="630" spans="1:5" x14ac:dyDescent="0.25">
      <c r="A630" s="13"/>
      <c r="B630" s="14"/>
      <c r="C630" s="13"/>
      <c r="D630" s="15"/>
      <c r="E630" s="13"/>
    </row>
    <row r="631" spans="1:5" x14ac:dyDescent="0.25">
      <c r="B631" s="9"/>
      <c r="D631" s="10"/>
    </row>
    <row r="632" spans="1:5" x14ac:dyDescent="0.25">
      <c r="A632" s="13"/>
      <c r="B632" s="14"/>
      <c r="C632" s="13"/>
      <c r="D632" s="15"/>
      <c r="E632" s="13"/>
    </row>
    <row r="633" spans="1:5" x14ac:dyDescent="0.25">
      <c r="B633" s="9"/>
      <c r="D633" s="10"/>
    </row>
    <row r="634" spans="1:5" x14ac:dyDescent="0.25">
      <c r="A634" s="13"/>
      <c r="B634" s="14"/>
      <c r="C634" s="13"/>
      <c r="D634" s="15"/>
      <c r="E634" s="13"/>
    </row>
    <row r="635" spans="1:5" x14ac:dyDescent="0.25">
      <c r="B635" s="9"/>
      <c r="D635" s="10"/>
    </row>
    <row r="636" spans="1:5" x14ac:dyDescent="0.25">
      <c r="A636" s="13"/>
      <c r="B636" s="14"/>
      <c r="C636" s="13"/>
      <c r="D636" s="15"/>
      <c r="E636" s="13"/>
    </row>
    <row r="637" spans="1:5" x14ac:dyDescent="0.25">
      <c r="B637" s="9"/>
      <c r="D637" s="10"/>
    </row>
    <row r="638" spans="1:5" x14ac:dyDescent="0.25">
      <c r="A638" s="13"/>
      <c r="B638" s="14"/>
      <c r="C638" s="13"/>
      <c r="D638" s="15"/>
      <c r="E638" s="13"/>
    </row>
    <row r="639" spans="1:5" x14ac:dyDescent="0.25">
      <c r="B639" s="9"/>
      <c r="D639" s="10"/>
    </row>
    <row r="640" spans="1:5" x14ac:dyDescent="0.25">
      <c r="A640" s="13"/>
      <c r="B640" s="14"/>
      <c r="C640" s="13"/>
      <c r="D640" s="15"/>
      <c r="E640" s="13"/>
    </row>
    <row r="641" spans="1:5" x14ac:dyDescent="0.25">
      <c r="B641" s="9"/>
      <c r="D641" s="10"/>
    </row>
    <row r="642" spans="1:5" x14ac:dyDescent="0.25">
      <c r="A642" s="13"/>
      <c r="B642" s="14"/>
      <c r="C642" s="13"/>
      <c r="D642" s="15"/>
      <c r="E642" s="13"/>
    </row>
    <row r="643" spans="1:5" x14ac:dyDescent="0.25">
      <c r="B643" s="9"/>
      <c r="D643" s="10"/>
    </row>
    <row r="644" spans="1:5" x14ac:dyDescent="0.25">
      <c r="A644" s="13"/>
      <c r="B644" s="14"/>
      <c r="C644" s="13"/>
      <c r="D644" s="15"/>
      <c r="E644" s="13"/>
    </row>
    <row r="645" spans="1:5" x14ac:dyDescent="0.25">
      <c r="B645" s="9"/>
      <c r="D645" s="10"/>
    </row>
    <row r="646" spans="1:5" x14ac:dyDescent="0.25">
      <c r="A646" s="13"/>
      <c r="B646" s="14"/>
      <c r="C646" s="13"/>
      <c r="D646" s="15"/>
      <c r="E646" s="13"/>
    </row>
    <row r="647" spans="1:5" x14ac:dyDescent="0.25">
      <c r="B647" s="9"/>
      <c r="D647" s="10"/>
    </row>
    <row r="648" spans="1:5" x14ac:dyDescent="0.25">
      <c r="A648" s="13"/>
      <c r="B648" s="14"/>
      <c r="C648" s="13"/>
      <c r="D648" s="15"/>
      <c r="E648" s="13"/>
    </row>
    <row r="649" spans="1:5" x14ac:dyDescent="0.25">
      <c r="B649" s="9"/>
      <c r="D649" s="10"/>
    </row>
    <row r="650" spans="1:5" x14ac:dyDescent="0.25">
      <c r="A650" s="13"/>
      <c r="B650" s="14"/>
      <c r="C650" s="13"/>
      <c r="D650" s="15"/>
      <c r="E650" s="13"/>
    </row>
    <row r="651" spans="1:5" x14ac:dyDescent="0.25">
      <c r="B651" s="9"/>
      <c r="D651" s="10"/>
    </row>
    <row r="652" spans="1:5" x14ac:dyDescent="0.25">
      <c r="A652" s="13"/>
      <c r="B652" s="14"/>
      <c r="C652" s="13"/>
      <c r="D652" s="15"/>
      <c r="E652" s="13"/>
    </row>
    <row r="653" spans="1:5" x14ac:dyDescent="0.25">
      <c r="B653" s="9"/>
      <c r="D653" s="10"/>
    </row>
    <row r="654" spans="1:5" x14ac:dyDescent="0.25">
      <c r="A654" s="13"/>
      <c r="B654" s="14"/>
      <c r="C654" s="13"/>
      <c r="D654" s="15"/>
      <c r="E654" s="13"/>
    </row>
    <row r="655" spans="1:5" x14ac:dyDescent="0.25">
      <c r="B655" s="9"/>
      <c r="D655" s="10"/>
    </row>
    <row r="656" spans="1:5" x14ac:dyDescent="0.25">
      <c r="A656" s="13"/>
      <c r="B656" s="14"/>
      <c r="C656" s="13"/>
      <c r="D656" s="15"/>
      <c r="E656" s="13"/>
    </row>
    <row r="657" spans="1:5" x14ac:dyDescent="0.25">
      <c r="B657" s="9"/>
      <c r="D657" s="10"/>
    </row>
    <row r="658" spans="1:5" x14ac:dyDescent="0.25">
      <c r="A658" s="13"/>
      <c r="B658" s="14"/>
      <c r="C658" s="13"/>
      <c r="D658" s="15"/>
      <c r="E658" s="13"/>
    </row>
    <row r="659" spans="1:5" x14ac:dyDescent="0.25">
      <c r="B659" s="9"/>
      <c r="D659" s="10"/>
    </row>
    <row r="660" spans="1:5" x14ac:dyDescent="0.25">
      <c r="A660" s="13"/>
      <c r="B660" s="14"/>
      <c r="C660" s="13"/>
      <c r="D660" s="15"/>
      <c r="E660" s="13"/>
    </row>
    <row r="661" spans="1:5" x14ac:dyDescent="0.25">
      <c r="B661" s="9"/>
      <c r="D661" s="10"/>
    </row>
    <row r="662" spans="1:5" x14ac:dyDescent="0.25">
      <c r="A662" s="13"/>
      <c r="B662" s="14"/>
      <c r="C662" s="13"/>
      <c r="D662" s="15"/>
      <c r="E662" s="13"/>
    </row>
    <row r="663" spans="1:5" x14ac:dyDescent="0.25">
      <c r="B663" s="9"/>
      <c r="D663" s="10"/>
    </row>
    <row r="664" spans="1:5" x14ac:dyDescent="0.25">
      <c r="A664" s="13"/>
      <c r="B664" s="14"/>
      <c r="C664" s="13"/>
      <c r="D664" s="15"/>
      <c r="E664" s="13"/>
    </row>
    <row r="665" spans="1:5" x14ac:dyDescent="0.25">
      <c r="B665" s="9"/>
      <c r="D665" s="10"/>
    </row>
    <row r="666" spans="1:5" x14ac:dyDescent="0.25">
      <c r="A666" s="13"/>
      <c r="B666" s="14"/>
      <c r="C666" s="13"/>
      <c r="D666" s="15"/>
      <c r="E666" s="13"/>
    </row>
    <row r="667" spans="1:5" x14ac:dyDescent="0.25">
      <c r="B667" s="9"/>
      <c r="D667" s="10"/>
    </row>
    <row r="668" spans="1:5" x14ac:dyDescent="0.25">
      <c r="A668" s="13"/>
      <c r="B668" s="14"/>
      <c r="C668" s="13"/>
      <c r="D668" s="15"/>
      <c r="E668" s="13"/>
    </row>
    <row r="669" spans="1:5" x14ac:dyDescent="0.25">
      <c r="B669" s="9"/>
      <c r="D669" s="10"/>
    </row>
    <row r="670" spans="1:5" x14ac:dyDescent="0.25">
      <c r="A670" s="13"/>
      <c r="B670" s="14"/>
      <c r="C670" s="13"/>
      <c r="D670" s="15"/>
      <c r="E670" s="13"/>
    </row>
    <row r="671" spans="1:5" x14ac:dyDescent="0.25">
      <c r="B671" s="9"/>
      <c r="D671" s="10"/>
    </row>
    <row r="672" spans="1:5" x14ac:dyDescent="0.25">
      <c r="A672" s="13"/>
      <c r="B672" s="14"/>
      <c r="C672" s="13"/>
      <c r="D672" s="15"/>
      <c r="E672" s="13"/>
    </row>
    <row r="673" spans="1:5" x14ac:dyDescent="0.25">
      <c r="B673" s="9"/>
      <c r="D673" s="10"/>
    </row>
    <row r="674" spans="1:5" x14ac:dyDescent="0.25">
      <c r="A674" s="13"/>
      <c r="B674" s="14"/>
      <c r="C674" s="13"/>
      <c r="D674" s="15"/>
      <c r="E674" s="13"/>
    </row>
    <row r="675" spans="1:5" x14ac:dyDescent="0.25">
      <c r="B675" s="9"/>
      <c r="D675" s="10"/>
    </row>
    <row r="676" spans="1:5" x14ac:dyDescent="0.25">
      <c r="A676" s="13"/>
      <c r="B676" s="14"/>
      <c r="C676" s="13"/>
      <c r="D676" s="15"/>
      <c r="E676" s="13"/>
    </row>
    <row r="677" spans="1:5" x14ac:dyDescent="0.25">
      <c r="B677" s="9"/>
      <c r="D677" s="10"/>
    </row>
    <row r="678" spans="1:5" x14ac:dyDescent="0.25">
      <c r="A678" s="13"/>
      <c r="B678" s="14"/>
      <c r="C678" s="13"/>
      <c r="D678" s="15"/>
      <c r="E678" s="13"/>
    </row>
    <row r="679" spans="1:5" x14ac:dyDescent="0.25">
      <c r="B679" s="9"/>
      <c r="D679" s="10"/>
    </row>
    <row r="680" spans="1:5" x14ac:dyDescent="0.25">
      <c r="A680" s="13"/>
      <c r="B680" s="14"/>
      <c r="C680" s="13"/>
      <c r="D680" s="15"/>
      <c r="E680" s="13"/>
    </row>
    <row r="681" spans="1:5" x14ac:dyDescent="0.25">
      <c r="B681" s="9"/>
      <c r="D681" s="10"/>
    </row>
    <row r="682" spans="1:5" x14ac:dyDescent="0.25">
      <c r="A682" s="13"/>
      <c r="B682" s="14"/>
      <c r="C682" s="13"/>
      <c r="D682" s="15"/>
      <c r="E682" s="13"/>
    </row>
    <row r="683" spans="1:5" x14ac:dyDescent="0.25">
      <c r="B683" s="9"/>
      <c r="D683" s="10"/>
    </row>
    <row r="684" spans="1:5" x14ac:dyDescent="0.25">
      <c r="A684" s="13"/>
      <c r="B684" s="14"/>
      <c r="C684" s="13"/>
      <c r="D684" s="15"/>
      <c r="E684" s="13"/>
    </row>
    <row r="685" spans="1:5" x14ac:dyDescent="0.25">
      <c r="B685" s="9"/>
      <c r="D685" s="10"/>
    </row>
    <row r="686" spans="1:5" x14ac:dyDescent="0.25">
      <c r="A686" s="13"/>
      <c r="B686" s="14"/>
      <c r="C686" s="13"/>
      <c r="D686" s="15"/>
      <c r="E686" s="13"/>
    </row>
    <row r="687" spans="1:5" x14ac:dyDescent="0.25">
      <c r="B687" s="9"/>
      <c r="D687" s="10"/>
    </row>
    <row r="688" spans="1:5" x14ac:dyDescent="0.25">
      <c r="A688" s="13"/>
      <c r="B688" s="14"/>
      <c r="C688" s="13"/>
      <c r="D688" s="15"/>
      <c r="E688" s="13"/>
    </row>
    <row r="689" spans="1:5" x14ac:dyDescent="0.25">
      <c r="B689" s="9"/>
      <c r="D689" s="10"/>
    </row>
    <row r="690" spans="1:5" x14ac:dyDescent="0.25">
      <c r="A690" s="13"/>
      <c r="B690" s="14"/>
      <c r="C690" s="13"/>
      <c r="D690" s="15"/>
      <c r="E690" s="13"/>
    </row>
    <row r="691" spans="1:5" x14ac:dyDescent="0.25">
      <c r="B691" s="9"/>
      <c r="D691" s="10"/>
    </row>
    <row r="692" spans="1:5" x14ac:dyDescent="0.25">
      <c r="A692" s="13"/>
      <c r="B692" s="14"/>
      <c r="C692" s="13"/>
      <c r="D692" s="15"/>
      <c r="E692" s="13"/>
    </row>
    <row r="693" spans="1:5" x14ac:dyDescent="0.25">
      <c r="B693" s="9"/>
      <c r="D693" s="10"/>
    </row>
    <row r="694" spans="1:5" x14ac:dyDescent="0.25">
      <c r="A694" s="13"/>
      <c r="B694" s="14"/>
      <c r="C694" s="13"/>
      <c r="D694" s="15"/>
      <c r="E694" s="13"/>
    </row>
    <row r="695" spans="1:5" x14ac:dyDescent="0.25">
      <c r="B695" s="9"/>
      <c r="D695" s="10"/>
    </row>
    <row r="696" spans="1:5" x14ac:dyDescent="0.25">
      <c r="A696" s="13"/>
      <c r="B696" s="14"/>
      <c r="C696" s="13"/>
      <c r="D696" s="15"/>
      <c r="E696" s="13"/>
    </row>
    <row r="697" spans="1:5" x14ac:dyDescent="0.25">
      <c r="B697" s="9"/>
      <c r="D697" s="10"/>
    </row>
    <row r="698" spans="1:5" x14ac:dyDescent="0.25">
      <c r="A698" s="13"/>
      <c r="B698" s="14"/>
      <c r="C698" s="13"/>
      <c r="D698" s="15"/>
      <c r="E698" s="13"/>
    </row>
    <row r="699" spans="1:5" x14ac:dyDescent="0.25">
      <c r="B699" s="9"/>
      <c r="D699" s="10"/>
    </row>
    <row r="700" spans="1:5" x14ac:dyDescent="0.25">
      <c r="A700" s="13"/>
      <c r="B700" s="14"/>
      <c r="C700" s="13"/>
      <c r="D700" s="15"/>
      <c r="E700" s="13"/>
    </row>
    <row r="701" spans="1:5" x14ac:dyDescent="0.25">
      <c r="B701" s="9"/>
      <c r="D701" s="10"/>
    </row>
    <row r="702" spans="1:5" x14ac:dyDescent="0.25">
      <c r="A702" s="13"/>
      <c r="B702" s="14"/>
      <c r="C702" s="13"/>
      <c r="D702" s="15"/>
      <c r="E702" s="13"/>
    </row>
    <row r="703" spans="1:5" x14ac:dyDescent="0.25">
      <c r="B703" s="9"/>
      <c r="D703" s="10"/>
    </row>
    <row r="704" spans="1:5" x14ac:dyDescent="0.25">
      <c r="A704" s="13"/>
      <c r="B704" s="14"/>
      <c r="C704" s="13"/>
      <c r="D704" s="15"/>
      <c r="E704" s="13"/>
    </row>
    <row r="705" spans="1:5" x14ac:dyDescent="0.25">
      <c r="B705" s="9"/>
      <c r="D705" s="10"/>
    </row>
    <row r="706" spans="1:5" x14ac:dyDescent="0.25">
      <c r="A706" s="13"/>
      <c r="B706" s="14"/>
      <c r="C706" s="13"/>
      <c r="D706" s="15"/>
      <c r="E706" s="13"/>
    </row>
    <row r="707" spans="1:5" x14ac:dyDescent="0.25">
      <c r="B707" s="9"/>
      <c r="D707" s="10"/>
    </row>
    <row r="708" spans="1:5" x14ac:dyDescent="0.25">
      <c r="A708" s="13"/>
      <c r="B708" s="14"/>
      <c r="C708" s="13"/>
      <c r="D708" s="15"/>
      <c r="E708" s="13"/>
    </row>
    <row r="709" spans="1:5" x14ac:dyDescent="0.25">
      <c r="B709" s="9"/>
      <c r="D709" s="10"/>
    </row>
    <row r="710" spans="1:5" x14ac:dyDescent="0.25">
      <c r="A710" s="13"/>
      <c r="B710" s="14"/>
      <c r="C710" s="13"/>
      <c r="D710" s="15"/>
      <c r="E710" s="13"/>
    </row>
    <row r="711" spans="1:5" x14ac:dyDescent="0.25">
      <c r="B711" s="9"/>
      <c r="D711" s="10"/>
    </row>
    <row r="712" spans="1:5" x14ac:dyDescent="0.25">
      <c r="A712" s="13"/>
      <c r="B712" s="14"/>
      <c r="C712" s="13"/>
      <c r="D712" s="15"/>
      <c r="E712" s="13"/>
    </row>
    <row r="713" spans="1:5" x14ac:dyDescent="0.25">
      <c r="B713" s="9"/>
      <c r="D713" s="10"/>
    </row>
    <row r="714" spans="1:5" x14ac:dyDescent="0.25">
      <c r="A714" s="13"/>
      <c r="B714" s="14"/>
      <c r="C714" s="13"/>
      <c r="D714" s="15"/>
      <c r="E714" s="13"/>
    </row>
    <row r="715" spans="1:5" x14ac:dyDescent="0.25">
      <c r="B715" s="9"/>
      <c r="D715" s="10"/>
    </row>
    <row r="716" spans="1:5" x14ac:dyDescent="0.25">
      <c r="A716" s="13"/>
      <c r="B716" s="14"/>
      <c r="C716" s="13"/>
      <c r="D716" s="15"/>
      <c r="E716" s="13"/>
    </row>
    <row r="717" spans="1:5" x14ac:dyDescent="0.25">
      <c r="B717" s="9"/>
      <c r="D717" s="10"/>
    </row>
    <row r="718" spans="1:5" x14ac:dyDescent="0.25">
      <c r="A718" s="13"/>
      <c r="B718" s="14"/>
      <c r="C718" s="13"/>
      <c r="D718" s="15"/>
      <c r="E718" s="13"/>
    </row>
    <row r="719" spans="1:5" x14ac:dyDescent="0.25">
      <c r="B719" s="9"/>
      <c r="D719" s="10"/>
    </row>
    <row r="720" spans="1:5" x14ac:dyDescent="0.25">
      <c r="A720" s="13"/>
      <c r="B720" s="14"/>
      <c r="C720" s="13"/>
      <c r="D720" s="15"/>
      <c r="E720" s="13"/>
    </row>
    <row r="721" spans="1:5" x14ac:dyDescent="0.25">
      <c r="B721" s="9"/>
      <c r="D721" s="10"/>
    </row>
    <row r="722" spans="1:5" x14ac:dyDescent="0.25">
      <c r="A722" s="13"/>
      <c r="B722" s="14"/>
      <c r="C722" s="13"/>
      <c r="D722" s="15"/>
      <c r="E722" s="13"/>
    </row>
    <row r="723" spans="1:5" x14ac:dyDescent="0.25">
      <c r="B723" s="9"/>
      <c r="D723" s="10"/>
    </row>
    <row r="724" spans="1:5" x14ac:dyDescent="0.25">
      <c r="A724" s="13"/>
      <c r="B724" s="14"/>
      <c r="C724" s="13"/>
      <c r="D724" s="15"/>
      <c r="E724" s="13"/>
    </row>
    <row r="725" spans="1:5" x14ac:dyDescent="0.25">
      <c r="B725" s="9"/>
      <c r="D725" s="10"/>
    </row>
    <row r="726" spans="1:5" x14ac:dyDescent="0.25">
      <c r="A726" s="13"/>
      <c r="B726" s="14"/>
      <c r="C726" s="13"/>
      <c r="D726" s="15"/>
      <c r="E726" s="13"/>
    </row>
    <row r="727" spans="1:5" x14ac:dyDescent="0.25">
      <c r="B727" s="9"/>
      <c r="D727" s="10"/>
    </row>
    <row r="728" spans="1:5" x14ac:dyDescent="0.25">
      <c r="A728" s="13"/>
      <c r="B728" s="14"/>
      <c r="C728" s="13"/>
      <c r="D728" s="15"/>
      <c r="E728" s="13"/>
    </row>
    <row r="729" spans="1:5" x14ac:dyDescent="0.25">
      <c r="B729" s="9"/>
      <c r="D729" s="10"/>
    </row>
    <row r="730" spans="1:5" x14ac:dyDescent="0.25">
      <c r="A730" s="13"/>
      <c r="B730" s="14"/>
      <c r="C730" s="13"/>
      <c r="D730" s="15"/>
      <c r="E730" s="13"/>
    </row>
    <row r="731" spans="1:5" x14ac:dyDescent="0.25">
      <c r="B731" s="9"/>
      <c r="D731" s="10"/>
    </row>
    <row r="732" spans="1:5" x14ac:dyDescent="0.25">
      <c r="A732" s="13"/>
      <c r="B732" s="14"/>
      <c r="C732" s="13"/>
      <c r="D732" s="15"/>
      <c r="E732" s="13"/>
    </row>
    <row r="733" spans="1:5" x14ac:dyDescent="0.25">
      <c r="B733" s="9"/>
      <c r="D733" s="10"/>
    </row>
    <row r="734" spans="1:5" x14ac:dyDescent="0.25">
      <c r="A734" s="13"/>
      <c r="B734" s="14"/>
      <c r="C734" s="13"/>
      <c r="D734" s="15"/>
      <c r="E734" s="13"/>
    </row>
    <row r="735" spans="1:5" x14ac:dyDescent="0.25">
      <c r="B735" s="9"/>
      <c r="D735" s="10"/>
    </row>
    <row r="736" spans="1:5" x14ac:dyDescent="0.25">
      <c r="A736" s="13"/>
      <c r="B736" s="14"/>
      <c r="C736" s="13"/>
      <c r="D736" s="15"/>
      <c r="E736" s="13"/>
    </row>
    <row r="737" spans="1:5" x14ac:dyDescent="0.25">
      <c r="B737" s="9"/>
      <c r="D737" s="10"/>
    </row>
    <row r="738" spans="1:5" x14ac:dyDescent="0.25">
      <c r="A738" s="13"/>
      <c r="B738" s="14"/>
      <c r="C738" s="13"/>
      <c r="D738" s="15"/>
      <c r="E738" s="13"/>
    </row>
    <row r="739" spans="1:5" x14ac:dyDescent="0.25">
      <c r="B739" s="9"/>
      <c r="D739" s="10"/>
    </row>
    <row r="740" spans="1:5" x14ac:dyDescent="0.25">
      <c r="A740" s="13"/>
      <c r="B740" s="14"/>
      <c r="C740" s="13"/>
      <c r="D740" s="15"/>
      <c r="E740" s="13"/>
    </row>
    <row r="741" spans="1:5" x14ac:dyDescent="0.25">
      <c r="B741" s="9"/>
      <c r="D741" s="10"/>
    </row>
    <row r="742" spans="1:5" x14ac:dyDescent="0.25">
      <c r="A742" s="13"/>
      <c r="B742" s="14"/>
      <c r="C742" s="13"/>
      <c r="D742" s="15"/>
      <c r="E742" s="13"/>
    </row>
    <row r="743" spans="1:5" x14ac:dyDescent="0.25">
      <c r="B743" s="9"/>
      <c r="D743" s="10"/>
    </row>
    <row r="744" spans="1:5" x14ac:dyDescent="0.25">
      <c r="A744" s="13"/>
      <c r="B744" s="14"/>
      <c r="C744" s="13"/>
      <c r="D744" s="15"/>
      <c r="E744" s="13"/>
    </row>
    <row r="745" spans="1:5" x14ac:dyDescent="0.25">
      <c r="B745" s="9"/>
      <c r="D745" s="10"/>
    </row>
    <row r="746" spans="1:5" x14ac:dyDescent="0.25">
      <c r="A746" s="13"/>
      <c r="B746" s="14"/>
      <c r="C746" s="13"/>
      <c r="D746" s="15"/>
      <c r="E746" s="13"/>
    </row>
    <row r="747" spans="1:5" x14ac:dyDescent="0.25">
      <c r="B747" s="9"/>
      <c r="D747" s="10"/>
    </row>
    <row r="748" spans="1:5" x14ac:dyDescent="0.25">
      <c r="A748" s="13"/>
      <c r="B748" s="14"/>
      <c r="C748" s="13"/>
      <c r="D748" s="15"/>
      <c r="E748" s="13"/>
    </row>
    <row r="749" spans="1:5" x14ac:dyDescent="0.25">
      <c r="B749" s="9"/>
      <c r="D749" s="10"/>
    </row>
    <row r="750" spans="1:5" x14ac:dyDescent="0.25">
      <c r="A750" s="13"/>
      <c r="B750" s="14"/>
      <c r="C750" s="13"/>
      <c r="D750" s="15"/>
      <c r="E750" s="13"/>
    </row>
    <row r="751" spans="1:5" x14ac:dyDescent="0.25">
      <c r="B751" s="9"/>
      <c r="D751" s="10"/>
    </row>
    <row r="752" spans="1:5" x14ac:dyDescent="0.25">
      <c r="A752" s="13"/>
      <c r="B752" s="14"/>
      <c r="C752" s="13"/>
      <c r="D752" s="15"/>
      <c r="E752" s="13"/>
    </row>
    <row r="753" spans="1:5" x14ac:dyDescent="0.25">
      <c r="B753" s="9"/>
      <c r="D753" s="10"/>
    </row>
    <row r="754" spans="1:5" x14ac:dyDescent="0.25">
      <c r="A754" s="13"/>
      <c r="B754" s="14"/>
      <c r="C754" s="13"/>
      <c r="D754" s="15"/>
      <c r="E754" s="13"/>
    </row>
    <row r="755" spans="1:5" x14ac:dyDescent="0.25">
      <c r="B755" s="9"/>
      <c r="D755" s="10"/>
    </row>
    <row r="756" spans="1:5" x14ac:dyDescent="0.25">
      <c r="A756" s="13"/>
      <c r="B756" s="14"/>
      <c r="C756" s="13"/>
      <c r="D756" s="15"/>
      <c r="E756" s="13"/>
    </row>
    <row r="757" spans="1:5" x14ac:dyDescent="0.25">
      <c r="B757" s="9"/>
      <c r="D757" s="10"/>
    </row>
    <row r="758" spans="1:5" x14ac:dyDescent="0.25">
      <c r="A758" s="13"/>
      <c r="B758" s="14"/>
      <c r="C758" s="13"/>
      <c r="D758" s="15"/>
      <c r="E758" s="13"/>
    </row>
    <row r="759" spans="1:5" x14ac:dyDescent="0.25">
      <c r="B759" s="9"/>
      <c r="D759" s="10"/>
    </row>
    <row r="760" spans="1:5" x14ac:dyDescent="0.25">
      <c r="A760" s="13"/>
      <c r="B760" s="14"/>
      <c r="C760" s="13"/>
      <c r="D760" s="15"/>
      <c r="E760" s="13"/>
    </row>
    <row r="761" spans="1:5" x14ac:dyDescent="0.25">
      <c r="B761" s="9"/>
      <c r="D761" s="10"/>
    </row>
    <row r="762" spans="1:5" x14ac:dyDescent="0.25">
      <c r="A762" s="13"/>
      <c r="B762" s="14"/>
      <c r="C762" s="13"/>
      <c r="D762" s="15"/>
      <c r="E762" s="13"/>
    </row>
    <row r="763" spans="1:5" x14ac:dyDescent="0.25">
      <c r="B763" s="9"/>
      <c r="D763" s="10"/>
    </row>
    <row r="764" spans="1:5" x14ac:dyDescent="0.25">
      <c r="A764" s="13"/>
      <c r="B764" s="14"/>
      <c r="C764" s="13"/>
      <c r="D764" s="15"/>
      <c r="E764" s="13"/>
    </row>
    <row r="765" spans="1:5" x14ac:dyDescent="0.25">
      <c r="B765" s="9"/>
      <c r="D765" s="10"/>
    </row>
    <row r="766" spans="1:5" x14ac:dyDescent="0.25">
      <c r="A766" s="13"/>
      <c r="B766" s="14"/>
      <c r="C766" s="13"/>
      <c r="D766" s="15"/>
      <c r="E766" s="13"/>
    </row>
    <row r="767" spans="1:5" x14ac:dyDescent="0.25">
      <c r="B767" s="9"/>
      <c r="D767" s="10"/>
    </row>
    <row r="768" spans="1:5" x14ac:dyDescent="0.25">
      <c r="A768" s="13"/>
      <c r="B768" s="14"/>
      <c r="C768" s="13"/>
      <c r="D768" s="15"/>
      <c r="E768" s="13"/>
    </row>
    <row r="769" spans="1:5" x14ac:dyDescent="0.25">
      <c r="B769" s="9"/>
      <c r="D769" s="10"/>
    </row>
    <row r="770" spans="1:5" x14ac:dyDescent="0.25">
      <c r="A770" s="13"/>
      <c r="B770" s="14"/>
      <c r="C770" s="13"/>
      <c r="D770" s="15"/>
      <c r="E770" s="13"/>
    </row>
    <row r="771" spans="1:5" x14ac:dyDescent="0.25">
      <c r="B771" s="9"/>
      <c r="D771" s="10"/>
    </row>
    <row r="772" spans="1:5" x14ac:dyDescent="0.25">
      <c r="A772" s="13"/>
      <c r="B772" s="14"/>
      <c r="C772" s="13"/>
      <c r="D772" s="15"/>
      <c r="E772" s="13"/>
    </row>
    <row r="773" spans="1:5" x14ac:dyDescent="0.25">
      <c r="B773" s="9"/>
      <c r="D773" s="10"/>
    </row>
    <row r="774" spans="1:5" x14ac:dyDescent="0.25">
      <c r="A774" s="13"/>
      <c r="B774" s="14"/>
      <c r="C774" s="13"/>
      <c r="D774" s="15"/>
      <c r="E774" s="13"/>
    </row>
    <row r="775" spans="1:5" x14ac:dyDescent="0.25">
      <c r="B775" s="9"/>
      <c r="D775" s="10"/>
    </row>
    <row r="776" spans="1:5" x14ac:dyDescent="0.25">
      <c r="A776" s="13"/>
      <c r="B776" s="14"/>
      <c r="C776" s="13"/>
      <c r="D776" s="15"/>
      <c r="E776" s="13"/>
    </row>
    <row r="777" spans="1:5" x14ac:dyDescent="0.25">
      <c r="B777" s="9"/>
      <c r="D777" s="10"/>
    </row>
    <row r="778" spans="1:5" x14ac:dyDescent="0.25">
      <c r="A778" s="13"/>
      <c r="B778" s="14"/>
      <c r="C778" s="13"/>
      <c r="D778" s="15"/>
      <c r="E778" s="13"/>
    </row>
    <row r="779" spans="1:5" x14ac:dyDescent="0.25">
      <c r="B779" s="9"/>
      <c r="D779" s="10"/>
    </row>
    <row r="780" spans="1:5" x14ac:dyDescent="0.25">
      <c r="A780" s="13"/>
      <c r="B780" s="14"/>
      <c r="C780" s="13"/>
      <c r="D780" s="15"/>
      <c r="E780" s="13"/>
    </row>
    <row r="781" spans="1:5" x14ac:dyDescent="0.25">
      <c r="B781" s="9"/>
      <c r="D781" s="10"/>
    </row>
    <row r="782" spans="1:5" x14ac:dyDescent="0.25">
      <c r="A782" s="13"/>
      <c r="B782" s="14"/>
      <c r="C782" s="13"/>
      <c r="D782" s="15"/>
      <c r="E782" s="13"/>
    </row>
    <row r="783" spans="1:5" x14ac:dyDescent="0.25">
      <c r="B783" s="9"/>
      <c r="D783" s="10"/>
    </row>
    <row r="784" spans="1:5" x14ac:dyDescent="0.25">
      <c r="A784" s="13"/>
      <c r="B784" s="14"/>
      <c r="C784" s="13"/>
      <c r="D784" s="15"/>
      <c r="E784" s="13"/>
    </row>
    <row r="785" spans="1:5" x14ac:dyDescent="0.25">
      <c r="B785" s="9"/>
      <c r="D785" s="10"/>
    </row>
    <row r="786" spans="1:5" x14ac:dyDescent="0.25">
      <c r="A786" s="13"/>
      <c r="B786" s="14"/>
      <c r="C786" s="13"/>
      <c r="D786" s="15"/>
      <c r="E786" s="13"/>
    </row>
    <row r="787" spans="1:5" x14ac:dyDescent="0.25">
      <c r="B787" s="9"/>
      <c r="D787" s="10"/>
    </row>
    <row r="788" spans="1:5" x14ac:dyDescent="0.25">
      <c r="A788" s="13"/>
      <c r="B788" s="14"/>
      <c r="C788" s="13"/>
      <c r="D788" s="15"/>
      <c r="E788" s="13"/>
    </row>
    <row r="789" spans="1:5" x14ac:dyDescent="0.25">
      <c r="B789" s="9"/>
      <c r="D789" s="10"/>
    </row>
    <row r="790" spans="1:5" x14ac:dyDescent="0.25">
      <c r="A790" s="13"/>
      <c r="B790" s="14"/>
      <c r="C790" s="13"/>
      <c r="D790" s="15"/>
      <c r="E790" s="13"/>
    </row>
    <row r="791" spans="1:5" x14ac:dyDescent="0.25">
      <c r="B791" s="9"/>
      <c r="D791" s="10"/>
    </row>
    <row r="792" spans="1:5" x14ac:dyDescent="0.25">
      <c r="A792" s="13"/>
      <c r="B792" s="14"/>
      <c r="C792" s="13"/>
      <c r="D792" s="15"/>
      <c r="E792" s="13"/>
    </row>
    <row r="793" spans="1:5" x14ac:dyDescent="0.25">
      <c r="B793" s="9"/>
      <c r="D793" s="10"/>
    </row>
    <row r="794" spans="1:5" x14ac:dyDescent="0.25">
      <c r="A794" s="13"/>
      <c r="B794" s="14"/>
      <c r="C794" s="13"/>
      <c r="D794" s="15"/>
      <c r="E794" s="13"/>
    </row>
    <row r="795" spans="1:5" x14ac:dyDescent="0.25">
      <c r="B795" s="9"/>
      <c r="D795" s="10"/>
    </row>
    <row r="796" spans="1:5" x14ac:dyDescent="0.25">
      <c r="A796" s="13"/>
      <c r="B796" s="14"/>
      <c r="C796" s="13"/>
      <c r="D796" s="15"/>
      <c r="E796" s="13"/>
    </row>
    <row r="797" spans="1:5" x14ac:dyDescent="0.25">
      <c r="B797" s="9"/>
      <c r="D797" s="10"/>
    </row>
    <row r="798" spans="1:5" x14ac:dyDescent="0.25">
      <c r="A798" s="13"/>
      <c r="B798" s="14"/>
      <c r="C798" s="13"/>
      <c r="D798" s="15"/>
      <c r="E798" s="13"/>
    </row>
    <row r="799" spans="1:5" x14ac:dyDescent="0.25">
      <c r="B799" s="9"/>
      <c r="D799" s="10"/>
    </row>
    <row r="800" spans="1:5" x14ac:dyDescent="0.25">
      <c r="A800" s="13"/>
      <c r="B800" s="14"/>
      <c r="C800" s="13"/>
      <c r="D800" s="15"/>
      <c r="E800" s="13"/>
    </row>
    <row r="801" spans="1:5" x14ac:dyDescent="0.25">
      <c r="B801" s="9"/>
      <c r="D801" s="10"/>
    </row>
    <row r="802" spans="1:5" x14ac:dyDescent="0.25">
      <c r="A802" s="13"/>
      <c r="B802" s="14"/>
      <c r="C802" s="13"/>
      <c r="D802" s="15"/>
      <c r="E802" s="13"/>
    </row>
    <row r="803" spans="1:5" x14ac:dyDescent="0.25">
      <c r="B803" s="9"/>
      <c r="D803" s="10"/>
    </row>
    <row r="804" spans="1:5" x14ac:dyDescent="0.25">
      <c r="A804" s="13"/>
      <c r="B804" s="14"/>
      <c r="C804" s="13"/>
      <c r="D804" s="15"/>
      <c r="E804" s="13"/>
    </row>
    <row r="805" spans="1:5" x14ac:dyDescent="0.25">
      <c r="B805" s="9"/>
      <c r="D805" s="10"/>
    </row>
    <row r="806" spans="1:5" x14ac:dyDescent="0.25">
      <c r="A806" s="13"/>
      <c r="B806" s="14"/>
      <c r="C806" s="13"/>
      <c r="D806" s="15"/>
      <c r="E806" s="13"/>
    </row>
    <row r="807" spans="1:5" x14ac:dyDescent="0.25">
      <c r="B807" s="9"/>
      <c r="D807" s="10"/>
    </row>
    <row r="808" spans="1:5" x14ac:dyDescent="0.25">
      <c r="A808" s="13"/>
      <c r="B808" s="14"/>
      <c r="C808" s="13"/>
      <c r="D808" s="15"/>
      <c r="E808" s="13"/>
    </row>
    <row r="809" spans="1:5" x14ac:dyDescent="0.25">
      <c r="B809" s="9"/>
      <c r="D809" s="10"/>
    </row>
    <row r="810" spans="1:5" x14ac:dyDescent="0.25">
      <c r="A810" s="13"/>
      <c r="B810" s="14"/>
      <c r="C810" s="13"/>
      <c r="D810" s="15"/>
      <c r="E810" s="13"/>
    </row>
    <row r="811" spans="1:5" x14ac:dyDescent="0.25">
      <c r="B811" s="9"/>
      <c r="D811" s="10"/>
    </row>
    <row r="812" spans="1:5" x14ac:dyDescent="0.25">
      <c r="A812" s="13"/>
      <c r="B812" s="14"/>
      <c r="C812" s="13"/>
      <c r="D812" s="15"/>
      <c r="E812" s="13"/>
    </row>
    <row r="813" spans="1:5" x14ac:dyDescent="0.25">
      <c r="B813" s="9"/>
      <c r="D813" s="10"/>
    </row>
    <row r="814" spans="1:5" x14ac:dyDescent="0.25">
      <c r="A814" s="13"/>
      <c r="B814" s="14"/>
      <c r="C814" s="13"/>
      <c r="D814" s="15"/>
      <c r="E814" s="13"/>
    </row>
    <row r="815" spans="1:5" x14ac:dyDescent="0.25">
      <c r="B815" s="9"/>
      <c r="D815" s="10"/>
    </row>
    <row r="816" spans="1:5" x14ac:dyDescent="0.25">
      <c r="A816" s="13"/>
      <c r="B816" s="14"/>
      <c r="C816" s="13"/>
      <c r="D816" s="15"/>
      <c r="E816" s="13"/>
    </row>
    <row r="817" spans="1:5" x14ac:dyDescent="0.25">
      <c r="B817" s="9"/>
      <c r="D817" s="10"/>
    </row>
    <row r="818" spans="1:5" x14ac:dyDescent="0.25">
      <c r="A818" s="13"/>
      <c r="B818" s="14"/>
      <c r="C818" s="13"/>
      <c r="D818" s="15"/>
      <c r="E818" s="13"/>
    </row>
    <row r="819" spans="1:5" x14ac:dyDescent="0.25">
      <c r="B819" s="9"/>
      <c r="D819" s="10"/>
    </row>
    <row r="820" spans="1:5" x14ac:dyDescent="0.25">
      <c r="A820" s="13"/>
      <c r="B820" s="14"/>
      <c r="C820" s="13"/>
      <c r="D820" s="15"/>
      <c r="E820" s="13"/>
    </row>
    <row r="821" spans="1:5" x14ac:dyDescent="0.25">
      <c r="B821" s="9"/>
      <c r="D821" s="10"/>
    </row>
    <row r="822" spans="1:5" x14ac:dyDescent="0.25">
      <c r="A822" s="13"/>
      <c r="B822" s="14"/>
      <c r="C822" s="13"/>
      <c r="D822" s="15"/>
      <c r="E822" s="13"/>
    </row>
    <row r="823" spans="1:5" x14ac:dyDescent="0.25">
      <c r="B823" s="9"/>
      <c r="D823" s="10"/>
    </row>
    <row r="824" spans="1:5" x14ac:dyDescent="0.25">
      <c r="A824" s="13"/>
      <c r="B824" s="14"/>
      <c r="C824" s="13"/>
      <c r="D824" s="15"/>
      <c r="E824" s="13"/>
    </row>
    <row r="825" spans="1:5" x14ac:dyDescent="0.25">
      <c r="B825" s="9"/>
      <c r="D825" s="10"/>
    </row>
    <row r="826" spans="1:5" x14ac:dyDescent="0.25">
      <c r="A826" s="13"/>
      <c r="B826" s="14"/>
      <c r="C826" s="13"/>
      <c r="D826" s="15"/>
      <c r="E826" s="13"/>
    </row>
    <row r="827" spans="1:5" x14ac:dyDescent="0.25">
      <c r="B827" s="9"/>
      <c r="D827" s="10"/>
    </row>
    <row r="828" spans="1:5" x14ac:dyDescent="0.25">
      <c r="A828" s="13"/>
      <c r="B828" s="14"/>
      <c r="C828" s="13"/>
      <c r="D828" s="15"/>
      <c r="E828" s="13"/>
    </row>
    <row r="829" spans="1:5" x14ac:dyDescent="0.25">
      <c r="B829" s="9"/>
      <c r="D829" s="10"/>
    </row>
    <row r="830" spans="1:5" x14ac:dyDescent="0.25">
      <c r="A830" s="13"/>
      <c r="B830" s="14"/>
      <c r="C830" s="13"/>
      <c r="D830" s="15"/>
      <c r="E830" s="13"/>
    </row>
    <row r="831" spans="1:5" x14ac:dyDescent="0.25">
      <c r="B831" s="9"/>
      <c r="D831" s="10"/>
    </row>
    <row r="832" spans="1:5" x14ac:dyDescent="0.25">
      <c r="A832" s="13"/>
      <c r="B832" s="14"/>
      <c r="C832" s="13"/>
      <c r="D832" s="15"/>
      <c r="E832" s="13"/>
    </row>
    <row r="833" spans="1:5" x14ac:dyDescent="0.25">
      <c r="B833" s="9"/>
      <c r="D833" s="10"/>
    </row>
    <row r="834" spans="1:5" x14ac:dyDescent="0.25">
      <c r="A834" s="13"/>
      <c r="B834" s="14"/>
      <c r="C834" s="13"/>
      <c r="D834" s="15"/>
      <c r="E834" s="13"/>
    </row>
    <row r="835" spans="1:5" x14ac:dyDescent="0.25">
      <c r="B835" s="9"/>
      <c r="D835" s="10"/>
    </row>
    <row r="836" spans="1:5" x14ac:dyDescent="0.25">
      <c r="A836" s="13"/>
      <c r="B836" s="14"/>
      <c r="C836" s="13"/>
      <c r="D836" s="15"/>
      <c r="E836" s="13"/>
    </row>
    <row r="837" spans="1:5" x14ac:dyDescent="0.25">
      <c r="B837" s="9"/>
      <c r="D837" s="10"/>
    </row>
    <row r="838" spans="1:5" x14ac:dyDescent="0.25">
      <c r="A838" s="13"/>
      <c r="B838" s="14"/>
      <c r="C838" s="13"/>
      <c r="D838" s="15"/>
      <c r="E838" s="13"/>
    </row>
    <row r="839" spans="1:5" x14ac:dyDescent="0.25">
      <c r="B839" s="9"/>
      <c r="D839" s="10"/>
    </row>
    <row r="840" spans="1:5" x14ac:dyDescent="0.25">
      <c r="A840" s="13"/>
      <c r="B840" s="14"/>
      <c r="C840" s="13"/>
      <c r="D840" s="15"/>
      <c r="E840" s="13"/>
    </row>
    <row r="841" spans="1:5" x14ac:dyDescent="0.25">
      <c r="B841" s="9"/>
      <c r="D841" s="10"/>
    </row>
    <row r="842" spans="1:5" x14ac:dyDescent="0.25">
      <c r="A842" s="13"/>
      <c r="B842" s="14"/>
      <c r="C842" s="13"/>
      <c r="D842" s="15"/>
      <c r="E842" s="13"/>
    </row>
    <row r="843" spans="1:5" x14ac:dyDescent="0.25">
      <c r="B843" s="9"/>
      <c r="D843" s="10"/>
    </row>
    <row r="844" spans="1:5" x14ac:dyDescent="0.25">
      <c r="A844" s="13"/>
      <c r="B844" s="14"/>
      <c r="C844" s="13"/>
      <c r="D844" s="15"/>
      <c r="E844" s="13"/>
    </row>
    <row r="845" spans="1:5" x14ac:dyDescent="0.25">
      <c r="B845" s="9"/>
      <c r="D845" s="10"/>
    </row>
    <row r="846" spans="1:5" x14ac:dyDescent="0.25">
      <c r="A846" s="13"/>
      <c r="B846" s="14"/>
      <c r="C846" s="13"/>
      <c r="D846" s="15"/>
      <c r="E846" s="13"/>
    </row>
    <row r="847" spans="1:5" x14ac:dyDescent="0.25">
      <c r="B847" s="9"/>
      <c r="D847" s="10"/>
    </row>
    <row r="848" spans="1:5" x14ac:dyDescent="0.25">
      <c r="A848" s="13"/>
      <c r="B848" s="14"/>
      <c r="C848" s="13"/>
      <c r="D848" s="15"/>
      <c r="E848" s="13"/>
    </row>
    <row r="849" spans="1:5" x14ac:dyDescent="0.25">
      <c r="B849" s="9"/>
      <c r="D849" s="10"/>
    </row>
    <row r="850" spans="1:5" x14ac:dyDescent="0.25">
      <c r="A850" s="13"/>
      <c r="B850" s="14"/>
      <c r="C850" s="13"/>
      <c r="D850" s="15"/>
      <c r="E850" s="13"/>
    </row>
    <row r="851" spans="1:5" x14ac:dyDescent="0.25">
      <c r="B851" s="9"/>
      <c r="D851" s="10"/>
    </row>
    <row r="852" spans="1:5" x14ac:dyDescent="0.25">
      <c r="A852" s="13"/>
      <c r="B852" s="14"/>
      <c r="C852" s="13"/>
      <c r="D852" s="15"/>
      <c r="E852" s="13"/>
    </row>
    <row r="853" spans="1:5" x14ac:dyDescent="0.25">
      <c r="B853" s="9"/>
      <c r="D853" s="10"/>
    </row>
    <row r="854" spans="1:5" x14ac:dyDescent="0.25">
      <c r="A854" s="13"/>
      <c r="B854" s="14"/>
      <c r="C854" s="13"/>
      <c r="D854" s="15"/>
      <c r="E854" s="13"/>
    </row>
    <row r="855" spans="1:5" x14ac:dyDescent="0.25">
      <c r="B855" s="9"/>
      <c r="D855" s="10"/>
    </row>
    <row r="856" spans="1:5" x14ac:dyDescent="0.25">
      <c r="A856" s="13"/>
      <c r="B856" s="14"/>
      <c r="C856" s="13"/>
      <c r="D856" s="15"/>
      <c r="E856" s="13"/>
    </row>
    <row r="857" spans="1:5" x14ac:dyDescent="0.25">
      <c r="B857" s="9"/>
      <c r="D857" s="10"/>
    </row>
    <row r="858" spans="1:5" x14ac:dyDescent="0.25">
      <c r="A858" s="13"/>
      <c r="B858" s="14"/>
      <c r="C858" s="13"/>
      <c r="D858" s="15"/>
      <c r="E858" s="13"/>
    </row>
    <row r="859" spans="1:5" x14ac:dyDescent="0.25">
      <c r="B859" s="9"/>
      <c r="D859" s="10"/>
    </row>
    <row r="860" spans="1:5" x14ac:dyDescent="0.25">
      <c r="A860" s="13"/>
      <c r="B860" s="14"/>
      <c r="C860" s="13"/>
      <c r="D860" s="15"/>
      <c r="E860" s="13"/>
    </row>
    <row r="861" spans="1:5" x14ac:dyDescent="0.25">
      <c r="B861" s="9"/>
      <c r="D861" s="10"/>
    </row>
    <row r="862" spans="1:5" x14ac:dyDescent="0.25">
      <c r="A862" s="13"/>
      <c r="B862" s="14"/>
      <c r="C862" s="13"/>
      <c r="D862" s="15"/>
      <c r="E862" s="13"/>
    </row>
    <row r="863" spans="1:5" x14ac:dyDescent="0.25">
      <c r="B863" s="9"/>
      <c r="D863" s="10"/>
    </row>
    <row r="864" spans="1:5" x14ac:dyDescent="0.25">
      <c r="A864" s="13"/>
      <c r="B864" s="14"/>
      <c r="C864" s="13"/>
      <c r="D864" s="15"/>
      <c r="E864" s="13"/>
    </row>
    <row r="865" spans="1:5" x14ac:dyDescent="0.25">
      <c r="B865" s="9"/>
      <c r="D865" s="10"/>
    </row>
    <row r="866" spans="1:5" x14ac:dyDescent="0.25">
      <c r="A866" s="13"/>
      <c r="B866" s="14"/>
      <c r="C866" s="13"/>
      <c r="D866" s="15"/>
      <c r="E866" s="13"/>
    </row>
    <row r="867" spans="1:5" x14ac:dyDescent="0.25">
      <c r="B867" s="9"/>
      <c r="D867" s="10"/>
    </row>
    <row r="868" spans="1:5" x14ac:dyDescent="0.25">
      <c r="A868" s="13"/>
      <c r="B868" s="14"/>
      <c r="C868" s="13"/>
      <c r="D868" s="15"/>
      <c r="E868" s="13"/>
    </row>
    <row r="869" spans="1:5" x14ac:dyDescent="0.25">
      <c r="B869" s="9"/>
      <c r="D869" s="10"/>
    </row>
    <row r="870" spans="1:5" x14ac:dyDescent="0.25">
      <c r="A870" s="13"/>
      <c r="B870" s="14"/>
      <c r="C870" s="13"/>
      <c r="D870" s="15"/>
      <c r="E870" s="13"/>
    </row>
    <row r="871" spans="1:5" x14ac:dyDescent="0.25">
      <c r="B871" s="9"/>
      <c r="D871" s="10"/>
    </row>
    <row r="872" spans="1:5" x14ac:dyDescent="0.25">
      <c r="A872" s="13"/>
      <c r="B872" s="14"/>
      <c r="C872" s="13"/>
      <c r="D872" s="15"/>
      <c r="E872" s="13"/>
    </row>
    <row r="873" spans="1:5" x14ac:dyDescent="0.25">
      <c r="B873" s="9"/>
      <c r="D873" s="10"/>
    </row>
    <row r="874" spans="1:5" x14ac:dyDescent="0.25">
      <c r="A874" s="13"/>
      <c r="B874" s="14"/>
      <c r="C874" s="13"/>
      <c r="D874" s="15"/>
      <c r="E874" s="13"/>
    </row>
    <row r="875" spans="1:5" x14ac:dyDescent="0.25">
      <c r="B875" s="9"/>
      <c r="D875" s="10"/>
    </row>
    <row r="876" spans="1:5" x14ac:dyDescent="0.25">
      <c r="A876" s="13"/>
      <c r="B876" s="14"/>
      <c r="C876" s="13"/>
      <c r="D876" s="15"/>
      <c r="E876" s="13"/>
    </row>
    <row r="877" spans="1:5" x14ac:dyDescent="0.25">
      <c r="B877" s="9"/>
      <c r="D877" s="10"/>
    </row>
    <row r="878" spans="1:5" x14ac:dyDescent="0.25">
      <c r="A878" s="13"/>
      <c r="B878" s="14"/>
      <c r="C878" s="13"/>
      <c r="D878" s="15"/>
      <c r="E878" s="13"/>
    </row>
    <row r="879" spans="1:5" x14ac:dyDescent="0.25">
      <c r="B879" s="9"/>
      <c r="D879" s="10"/>
    </row>
    <row r="880" spans="1:5" x14ac:dyDescent="0.25">
      <c r="A880" s="13"/>
      <c r="B880" s="14"/>
      <c r="C880" s="13"/>
      <c r="D880" s="15"/>
      <c r="E880" s="13"/>
    </row>
    <row r="881" spans="1:5" x14ac:dyDescent="0.25">
      <c r="B881" s="9"/>
      <c r="D881" s="10"/>
    </row>
    <row r="882" spans="1:5" x14ac:dyDescent="0.25">
      <c r="A882" s="13"/>
      <c r="B882" s="14"/>
      <c r="C882" s="13"/>
      <c r="D882" s="15"/>
      <c r="E882" s="13"/>
    </row>
    <row r="883" spans="1:5" x14ac:dyDescent="0.25">
      <c r="B883" s="9"/>
      <c r="D883" s="10"/>
    </row>
    <row r="884" spans="1:5" x14ac:dyDescent="0.25">
      <c r="A884" s="13"/>
      <c r="B884" s="14"/>
      <c r="C884" s="13"/>
      <c r="D884" s="15"/>
      <c r="E884" s="13"/>
    </row>
    <row r="885" spans="1:5" x14ac:dyDescent="0.25">
      <c r="B885" s="9"/>
      <c r="D885" s="10"/>
    </row>
    <row r="886" spans="1:5" x14ac:dyDescent="0.25">
      <c r="A886" s="13"/>
      <c r="B886" s="14"/>
      <c r="C886" s="13"/>
      <c r="D886" s="15"/>
      <c r="E886" s="13"/>
    </row>
    <row r="887" spans="1:5" x14ac:dyDescent="0.25">
      <c r="B887" s="9"/>
      <c r="D887" s="10"/>
    </row>
    <row r="888" spans="1:5" x14ac:dyDescent="0.25">
      <c r="A888" s="13"/>
      <c r="B888" s="14"/>
      <c r="C888" s="13"/>
      <c r="D888" s="15"/>
      <c r="E888" s="13"/>
    </row>
    <row r="889" spans="1:5" x14ac:dyDescent="0.25">
      <c r="B889" s="9"/>
      <c r="D889" s="10"/>
    </row>
    <row r="890" spans="1:5" x14ac:dyDescent="0.25">
      <c r="A890" s="13"/>
      <c r="B890" s="14"/>
      <c r="C890" s="13"/>
      <c r="D890" s="15"/>
      <c r="E890" s="13"/>
    </row>
    <row r="891" spans="1:5" x14ac:dyDescent="0.25">
      <c r="B891" s="9"/>
      <c r="D891" s="10"/>
    </row>
    <row r="892" spans="1:5" x14ac:dyDescent="0.25">
      <c r="A892" s="13"/>
      <c r="B892" s="14"/>
      <c r="C892" s="13"/>
      <c r="D892" s="15"/>
      <c r="E892" s="13"/>
    </row>
    <row r="893" spans="1:5" x14ac:dyDescent="0.25">
      <c r="B893" s="9"/>
      <c r="D893" s="10"/>
    </row>
    <row r="894" spans="1:5" x14ac:dyDescent="0.25">
      <c r="A894" s="13"/>
      <c r="B894" s="14"/>
      <c r="C894" s="13"/>
      <c r="D894" s="15"/>
      <c r="E894" s="13"/>
    </row>
    <row r="895" spans="1:5" x14ac:dyDescent="0.25">
      <c r="B895" s="9"/>
      <c r="D895" s="10"/>
    </row>
    <row r="896" spans="1:5" x14ac:dyDescent="0.25">
      <c r="A896" s="13"/>
      <c r="B896" s="14"/>
      <c r="C896" s="13"/>
      <c r="D896" s="15"/>
      <c r="E896" s="13"/>
    </row>
    <row r="897" spans="1:5" x14ac:dyDescent="0.25">
      <c r="B897" s="9"/>
      <c r="D897" s="10"/>
    </row>
    <row r="898" spans="1:5" x14ac:dyDescent="0.25">
      <c r="A898" s="13"/>
      <c r="B898" s="14"/>
      <c r="C898" s="13"/>
      <c r="D898" s="15"/>
      <c r="E898" s="13"/>
    </row>
    <row r="899" spans="1:5" x14ac:dyDescent="0.25">
      <c r="B899" s="9"/>
      <c r="D899" s="10"/>
    </row>
    <row r="900" spans="1:5" x14ac:dyDescent="0.25">
      <c r="A900" s="13"/>
      <c r="B900" s="14"/>
      <c r="C900" s="13"/>
      <c r="D900" s="15"/>
      <c r="E900" s="13"/>
    </row>
    <row r="901" spans="1:5" x14ac:dyDescent="0.25">
      <c r="B901" s="9"/>
      <c r="D901" s="10"/>
    </row>
    <row r="902" spans="1:5" x14ac:dyDescent="0.25">
      <c r="A902" s="13"/>
      <c r="B902" s="14"/>
      <c r="C902" s="13"/>
      <c r="D902" s="15"/>
      <c r="E902" s="13"/>
    </row>
    <row r="903" spans="1:5" x14ac:dyDescent="0.25">
      <c r="B903" s="9"/>
      <c r="D903" s="10"/>
    </row>
    <row r="904" spans="1:5" x14ac:dyDescent="0.25">
      <c r="A904" s="13"/>
      <c r="B904" s="14"/>
      <c r="C904" s="13"/>
      <c r="D904" s="15"/>
      <c r="E904" s="13"/>
    </row>
    <row r="905" spans="1:5" x14ac:dyDescent="0.25">
      <c r="B905" s="9"/>
      <c r="D905" s="10"/>
    </row>
    <row r="906" spans="1:5" x14ac:dyDescent="0.25">
      <c r="A906" s="13"/>
      <c r="B906" s="14"/>
      <c r="C906" s="13"/>
      <c r="D906" s="15"/>
      <c r="E906" s="13"/>
    </row>
    <row r="907" spans="1:5" x14ac:dyDescent="0.25">
      <c r="B907" s="9"/>
      <c r="D907" s="10"/>
    </row>
    <row r="908" spans="1:5" x14ac:dyDescent="0.25">
      <c r="A908" s="13"/>
      <c r="B908" s="14"/>
      <c r="C908" s="13"/>
      <c r="D908" s="15"/>
      <c r="E908" s="13"/>
    </row>
    <row r="909" spans="1:5" x14ac:dyDescent="0.25">
      <c r="B909" s="9"/>
      <c r="D909" s="10"/>
    </row>
    <row r="910" spans="1:5" x14ac:dyDescent="0.25">
      <c r="A910" s="13"/>
      <c r="B910" s="14"/>
      <c r="C910" s="13"/>
      <c r="D910" s="15"/>
      <c r="E910" s="13"/>
    </row>
    <row r="911" spans="1:5" x14ac:dyDescent="0.25">
      <c r="B911" s="9"/>
      <c r="D911" s="10"/>
    </row>
    <row r="912" spans="1:5" x14ac:dyDescent="0.25">
      <c r="A912" s="13"/>
      <c r="B912" s="14"/>
      <c r="C912" s="13"/>
      <c r="D912" s="15"/>
      <c r="E912" s="13"/>
    </row>
    <row r="913" spans="1:5" x14ac:dyDescent="0.25">
      <c r="B913" s="9"/>
      <c r="D913" s="10"/>
    </row>
    <row r="914" spans="1:5" x14ac:dyDescent="0.25">
      <c r="A914" s="13"/>
      <c r="B914" s="14"/>
      <c r="C914" s="13"/>
      <c r="D914" s="15"/>
      <c r="E914" s="13"/>
    </row>
    <row r="915" spans="1:5" x14ac:dyDescent="0.25">
      <c r="B915" s="9"/>
      <c r="D915" s="10"/>
    </row>
    <row r="916" spans="1:5" x14ac:dyDescent="0.25">
      <c r="A916" s="13"/>
      <c r="B916" s="14"/>
      <c r="C916" s="13"/>
      <c r="D916" s="15"/>
      <c r="E916" s="13"/>
    </row>
    <row r="917" spans="1:5" x14ac:dyDescent="0.25">
      <c r="B917" s="9"/>
      <c r="D917" s="10"/>
    </row>
    <row r="918" spans="1:5" x14ac:dyDescent="0.25">
      <c r="A918" s="13"/>
      <c r="B918" s="14"/>
      <c r="C918" s="13"/>
      <c r="D918" s="15"/>
      <c r="E918" s="13"/>
    </row>
    <row r="919" spans="1:5" x14ac:dyDescent="0.25">
      <c r="B919" s="9"/>
      <c r="D919" s="10"/>
    </row>
    <row r="920" spans="1:5" x14ac:dyDescent="0.25">
      <c r="A920" s="13"/>
      <c r="B920" s="14"/>
      <c r="C920" s="13"/>
      <c r="D920" s="15"/>
      <c r="E920" s="13"/>
    </row>
    <row r="921" spans="1:5" x14ac:dyDescent="0.25">
      <c r="B921" s="9"/>
      <c r="D921" s="10"/>
    </row>
    <row r="922" spans="1:5" x14ac:dyDescent="0.25">
      <c r="A922" s="13"/>
      <c r="B922" s="14"/>
      <c r="C922" s="13"/>
      <c r="D922" s="15"/>
      <c r="E922" s="13"/>
    </row>
    <row r="923" spans="1:5" x14ac:dyDescent="0.25">
      <c r="B923" s="9"/>
      <c r="D923" s="10"/>
    </row>
    <row r="924" spans="1:5" x14ac:dyDescent="0.25">
      <c r="A924" s="13"/>
      <c r="B924" s="14"/>
      <c r="C924" s="13"/>
      <c r="D924" s="15"/>
      <c r="E924" s="13"/>
    </row>
    <row r="925" spans="1:5" x14ac:dyDescent="0.25">
      <c r="B925" s="9"/>
      <c r="D925" s="10"/>
    </row>
    <row r="926" spans="1:5" x14ac:dyDescent="0.25">
      <c r="A926" s="13"/>
      <c r="B926" s="14"/>
      <c r="C926" s="13"/>
      <c r="D926" s="15"/>
      <c r="E926" s="13"/>
    </row>
    <row r="927" spans="1:5" x14ac:dyDescent="0.25">
      <c r="B927" s="9"/>
      <c r="D927" s="10"/>
    </row>
    <row r="928" spans="1:5" x14ac:dyDescent="0.25">
      <c r="A928" s="13"/>
      <c r="B928" s="14"/>
      <c r="C928" s="13"/>
      <c r="D928" s="15"/>
      <c r="E928" s="13"/>
    </row>
    <row r="929" spans="1:5" x14ac:dyDescent="0.25">
      <c r="B929" s="9"/>
      <c r="D929" s="10"/>
    </row>
    <row r="930" spans="1:5" x14ac:dyDescent="0.25">
      <c r="A930" s="13"/>
      <c r="B930" s="14"/>
      <c r="C930" s="13"/>
      <c r="D930" s="15"/>
      <c r="E930" s="13"/>
    </row>
    <row r="931" spans="1:5" x14ac:dyDescent="0.25">
      <c r="B931" s="9"/>
      <c r="D931" s="10"/>
    </row>
    <row r="932" spans="1:5" x14ac:dyDescent="0.25">
      <c r="A932" s="13"/>
      <c r="B932" s="14"/>
      <c r="C932" s="13"/>
      <c r="D932" s="15"/>
      <c r="E932" s="13"/>
    </row>
    <row r="933" spans="1:5" x14ac:dyDescent="0.25">
      <c r="B933" s="9"/>
      <c r="D933" s="10"/>
    </row>
    <row r="934" spans="1:5" x14ac:dyDescent="0.25">
      <c r="A934" s="13"/>
      <c r="B934" s="14"/>
      <c r="C934" s="13"/>
      <c r="D934" s="15"/>
      <c r="E934" s="13"/>
    </row>
    <row r="935" spans="1:5" x14ac:dyDescent="0.25">
      <c r="B935" s="9"/>
      <c r="D935" s="10"/>
    </row>
    <row r="936" spans="1:5" x14ac:dyDescent="0.25">
      <c r="A936" s="13"/>
      <c r="B936" s="14"/>
      <c r="C936" s="13"/>
      <c r="D936" s="15"/>
      <c r="E936" s="13"/>
    </row>
    <row r="937" spans="1:5" x14ac:dyDescent="0.25">
      <c r="B937" s="9"/>
      <c r="D937" s="10"/>
    </row>
    <row r="938" spans="1:5" x14ac:dyDescent="0.25">
      <c r="A938" s="13"/>
      <c r="B938" s="14"/>
      <c r="C938" s="13"/>
      <c r="D938" s="15"/>
      <c r="E938" s="13"/>
    </row>
    <row r="939" spans="1:5" x14ac:dyDescent="0.25">
      <c r="B939" s="9"/>
      <c r="D939" s="10"/>
    </row>
    <row r="940" spans="1:5" x14ac:dyDescent="0.25">
      <c r="A940" s="13"/>
      <c r="B940" s="14"/>
      <c r="C940" s="13"/>
      <c r="D940" s="15"/>
      <c r="E940" s="13"/>
    </row>
    <row r="941" spans="1:5" x14ac:dyDescent="0.25">
      <c r="B941" s="9"/>
      <c r="D941" s="10"/>
    </row>
    <row r="942" spans="1:5" x14ac:dyDescent="0.25">
      <c r="A942" s="13"/>
      <c r="B942" s="14"/>
      <c r="C942" s="13"/>
      <c r="D942" s="15"/>
      <c r="E942" s="13"/>
    </row>
    <row r="943" spans="1:5" x14ac:dyDescent="0.25">
      <c r="B943" s="9"/>
      <c r="D943" s="10"/>
    </row>
    <row r="944" spans="1:5" x14ac:dyDescent="0.25">
      <c r="A944" s="13"/>
      <c r="B944" s="14"/>
      <c r="C944" s="13"/>
      <c r="D944" s="15"/>
      <c r="E944" s="13"/>
    </row>
    <row r="945" spans="1:5" x14ac:dyDescent="0.25">
      <c r="B945" s="9"/>
      <c r="D945" s="10"/>
    </row>
    <row r="946" spans="1:5" x14ac:dyDescent="0.25">
      <c r="A946" s="13"/>
      <c r="B946" s="14"/>
      <c r="C946" s="13"/>
      <c r="D946" s="15"/>
      <c r="E946" s="13"/>
    </row>
    <row r="947" spans="1:5" x14ac:dyDescent="0.25">
      <c r="B947" s="9"/>
      <c r="D947" s="10"/>
    </row>
    <row r="948" spans="1:5" x14ac:dyDescent="0.25">
      <c r="A948" s="13"/>
      <c r="B948" s="14"/>
      <c r="C948" s="13"/>
      <c r="D948" s="15"/>
      <c r="E948" s="13"/>
    </row>
    <row r="949" spans="1:5" x14ac:dyDescent="0.25">
      <c r="B949" s="9"/>
      <c r="D949" s="10"/>
    </row>
    <row r="950" spans="1:5" x14ac:dyDescent="0.25">
      <c r="A950" s="13"/>
      <c r="B950" s="14"/>
      <c r="C950" s="13"/>
      <c r="D950" s="15"/>
      <c r="E950" s="13"/>
    </row>
    <row r="951" spans="1:5" x14ac:dyDescent="0.25">
      <c r="B951" s="9"/>
      <c r="D951" s="10"/>
    </row>
    <row r="952" spans="1:5" x14ac:dyDescent="0.25">
      <c r="A952" s="13"/>
      <c r="B952" s="14"/>
      <c r="C952" s="13"/>
      <c r="D952" s="15"/>
      <c r="E952" s="13"/>
    </row>
    <row r="953" spans="1:5" x14ac:dyDescent="0.25">
      <c r="B953" s="9"/>
      <c r="D953" s="10"/>
    </row>
    <row r="954" spans="1:5" x14ac:dyDescent="0.25">
      <c r="A954" s="13"/>
      <c r="B954" s="14"/>
      <c r="C954" s="13"/>
      <c r="D954" s="15"/>
      <c r="E954" s="13"/>
    </row>
    <row r="955" spans="1:5" x14ac:dyDescent="0.25">
      <c r="B955" s="9"/>
      <c r="D955" s="10"/>
    </row>
    <row r="956" spans="1:5" x14ac:dyDescent="0.25">
      <c r="A956" s="13"/>
      <c r="B956" s="14"/>
      <c r="C956" s="13"/>
      <c r="D956" s="15"/>
      <c r="E956" s="13"/>
    </row>
    <row r="957" spans="1:5" x14ac:dyDescent="0.25">
      <c r="B957" s="9"/>
      <c r="D957" s="10"/>
    </row>
    <row r="958" spans="1:5" x14ac:dyDescent="0.25">
      <c r="A958" s="13"/>
      <c r="B958" s="14"/>
      <c r="C958" s="13"/>
      <c r="D958" s="15"/>
      <c r="E958" s="13"/>
    </row>
    <row r="959" spans="1:5" x14ac:dyDescent="0.25">
      <c r="B959" s="9"/>
      <c r="D959" s="10"/>
    </row>
    <row r="960" spans="1:5" x14ac:dyDescent="0.25">
      <c r="A960" s="13"/>
      <c r="B960" s="14"/>
      <c r="C960" s="13"/>
      <c r="D960" s="15"/>
      <c r="E960" s="13"/>
    </row>
    <row r="961" spans="1:5" x14ac:dyDescent="0.25">
      <c r="B961" s="9"/>
      <c r="D961" s="10"/>
    </row>
    <row r="962" spans="1:5" x14ac:dyDescent="0.25">
      <c r="A962" s="13"/>
      <c r="B962" s="14"/>
      <c r="C962" s="13"/>
      <c r="D962" s="15"/>
      <c r="E962" s="13"/>
    </row>
    <row r="963" spans="1:5" x14ac:dyDescent="0.25">
      <c r="B963" s="9"/>
      <c r="D963" s="10"/>
    </row>
    <row r="964" spans="1:5" x14ac:dyDescent="0.25">
      <c r="A964" s="13"/>
      <c r="B964" s="14"/>
      <c r="C964" s="13"/>
      <c r="D964" s="15"/>
      <c r="E964" s="13"/>
    </row>
    <row r="965" spans="1:5" x14ac:dyDescent="0.25">
      <c r="B965" s="9"/>
      <c r="D965" s="10"/>
    </row>
    <row r="966" spans="1:5" x14ac:dyDescent="0.25">
      <c r="A966" s="13"/>
      <c r="B966" s="14"/>
      <c r="C966" s="13"/>
      <c r="D966" s="15"/>
      <c r="E966" s="13"/>
    </row>
    <row r="967" spans="1:5" x14ac:dyDescent="0.25">
      <c r="B967" s="9"/>
      <c r="D967" s="10"/>
    </row>
    <row r="968" spans="1:5" x14ac:dyDescent="0.25">
      <c r="A968" s="13"/>
      <c r="B968" s="14"/>
      <c r="C968" s="13"/>
      <c r="D968" s="15"/>
      <c r="E968" s="13"/>
    </row>
    <row r="969" spans="1:5" x14ac:dyDescent="0.25">
      <c r="B969" s="9"/>
      <c r="D969" s="10"/>
    </row>
    <row r="970" spans="1:5" x14ac:dyDescent="0.25">
      <c r="A970" s="13"/>
      <c r="B970" s="14"/>
      <c r="C970" s="13"/>
      <c r="D970" s="15"/>
      <c r="E970" s="13"/>
    </row>
    <row r="971" spans="1:5" x14ac:dyDescent="0.25">
      <c r="B971" s="9"/>
      <c r="D971" s="10"/>
    </row>
    <row r="972" spans="1:5" x14ac:dyDescent="0.25">
      <c r="A972" s="13"/>
      <c r="B972" s="14"/>
      <c r="C972" s="13"/>
      <c r="D972" s="15"/>
      <c r="E972" s="13"/>
    </row>
    <row r="973" spans="1:5" x14ac:dyDescent="0.25">
      <c r="B973" s="9"/>
      <c r="D973" s="10"/>
    </row>
    <row r="974" spans="1:5" x14ac:dyDescent="0.25">
      <c r="A974" s="13"/>
      <c r="B974" s="14"/>
      <c r="C974" s="13"/>
      <c r="D974" s="15"/>
      <c r="E974" s="13"/>
    </row>
    <row r="975" spans="1:5" x14ac:dyDescent="0.25">
      <c r="B975" s="9"/>
      <c r="D975" s="10"/>
    </row>
    <row r="976" spans="1:5" x14ac:dyDescent="0.25">
      <c r="A976" s="13"/>
      <c r="B976" s="14"/>
      <c r="C976" s="13"/>
      <c r="D976" s="15"/>
      <c r="E976" s="13"/>
    </row>
    <row r="977" spans="1:5" x14ac:dyDescent="0.25">
      <c r="B977" s="9"/>
      <c r="D977" s="10"/>
    </row>
    <row r="978" spans="1:5" x14ac:dyDescent="0.25">
      <c r="A978" s="13"/>
      <c r="B978" s="14"/>
      <c r="C978" s="13"/>
      <c r="D978" s="15"/>
      <c r="E978" s="13"/>
    </row>
    <row r="979" spans="1:5" x14ac:dyDescent="0.25">
      <c r="B979" s="9"/>
      <c r="D979" s="10"/>
    </row>
    <row r="980" spans="1:5" x14ac:dyDescent="0.25">
      <c r="A980" s="13"/>
      <c r="B980" s="14"/>
      <c r="C980" s="13"/>
      <c r="D980" s="15"/>
      <c r="E980" s="13"/>
    </row>
    <row r="981" spans="1:5" x14ac:dyDescent="0.25">
      <c r="B981" s="9"/>
      <c r="D981" s="10"/>
    </row>
    <row r="982" spans="1:5" x14ac:dyDescent="0.25">
      <c r="A982" s="13"/>
      <c r="B982" s="14"/>
      <c r="C982" s="13"/>
      <c r="D982" s="15"/>
      <c r="E982" s="13"/>
    </row>
    <row r="983" spans="1:5" x14ac:dyDescent="0.25">
      <c r="B983" s="9"/>
      <c r="D983" s="10"/>
    </row>
    <row r="984" spans="1:5" x14ac:dyDescent="0.25">
      <c r="A984" s="13"/>
      <c r="B984" s="14"/>
      <c r="C984" s="13"/>
      <c r="D984" s="15"/>
      <c r="E984" s="13"/>
    </row>
    <row r="985" spans="1:5" x14ac:dyDescent="0.25">
      <c r="B985" s="9"/>
      <c r="D985" s="10"/>
    </row>
    <row r="986" spans="1:5" x14ac:dyDescent="0.25">
      <c r="A986" s="13"/>
      <c r="B986" s="14"/>
      <c r="C986" s="13"/>
      <c r="D986" s="15"/>
      <c r="E986" s="13"/>
    </row>
    <row r="987" spans="1:5" x14ac:dyDescent="0.25">
      <c r="B987" s="9"/>
      <c r="D987" s="10"/>
    </row>
    <row r="988" spans="1:5" x14ac:dyDescent="0.25">
      <c r="A988" s="13"/>
      <c r="B988" s="14"/>
      <c r="C988" s="13"/>
      <c r="D988" s="15"/>
      <c r="E988" s="13"/>
    </row>
    <row r="989" spans="1:5" x14ac:dyDescent="0.25">
      <c r="B989" s="9"/>
      <c r="D989" s="10"/>
    </row>
    <row r="990" spans="1:5" x14ac:dyDescent="0.25">
      <c r="A990" s="13"/>
      <c r="B990" s="14"/>
      <c r="C990" s="13"/>
      <c r="D990" s="15"/>
      <c r="E990" s="13"/>
    </row>
    <row r="991" spans="1:5" x14ac:dyDescent="0.25">
      <c r="B991" s="9"/>
      <c r="D991" s="10"/>
    </row>
    <row r="992" spans="1:5" x14ac:dyDescent="0.25">
      <c r="A992" s="13"/>
      <c r="B992" s="14"/>
      <c r="C992" s="13"/>
      <c r="D992" s="15"/>
      <c r="E992" s="13"/>
    </row>
    <row r="993" spans="1:5" x14ac:dyDescent="0.25">
      <c r="B993" s="9"/>
      <c r="D993" s="10"/>
    </row>
    <row r="994" spans="1:5" x14ac:dyDescent="0.25">
      <c r="A994" s="13"/>
      <c r="B994" s="14"/>
      <c r="C994" s="13"/>
      <c r="D994" s="15"/>
      <c r="E994" s="13"/>
    </row>
    <row r="995" spans="1:5" x14ac:dyDescent="0.25">
      <c r="B995" s="9"/>
      <c r="D995" s="10"/>
    </row>
    <row r="996" spans="1:5" x14ac:dyDescent="0.25">
      <c r="A996" s="13"/>
      <c r="B996" s="14"/>
      <c r="C996" s="13"/>
      <c r="D996" s="15"/>
      <c r="E996" s="13"/>
    </row>
    <row r="997" spans="1:5" x14ac:dyDescent="0.25">
      <c r="B997" s="9"/>
      <c r="D997" s="10"/>
    </row>
    <row r="998" spans="1:5" x14ac:dyDescent="0.25">
      <c r="A998" s="13"/>
      <c r="B998" s="14"/>
      <c r="C998" s="13"/>
      <c r="D998" s="15"/>
      <c r="E998" s="13"/>
    </row>
    <row r="999" spans="1:5" x14ac:dyDescent="0.25">
      <c r="B999" s="9"/>
      <c r="D999" s="10"/>
    </row>
    <row r="1000" spans="1:5" x14ac:dyDescent="0.25">
      <c r="A1000" s="13"/>
      <c r="B1000" s="14"/>
      <c r="C1000" s="13"/>
      <c r="D1000" s="15"/>
      <c r="E1000" s="13"/>
    </row>
    <row r="1001" spans="1:5" x14ac:dyDescent="0.25">
      <c r="B1001" s="9"/>
      <c r="D1001" s="10"/>
    </row>
    <row r="1002" spans="1:5" x14ac:dyDescent="0.25">
      <c r="A1002" s="13"/>
      <c r="B1002" s="14"/>
      <c r="C1002" s="13"/>
      <c r="D1002" s="15"/>
      <c r="E1002" s="13"/>
    </row>
    <row r="1003" spans="1:5" x14ac:dyDescent="0.25">
      <c r="B1003" s="9"/>
      <c r="D1003" s="10"/>
    </row>
    <row r="1004" spans="1:5" x14ac:dyDescent="0.25">
      <c r="A1004" s="13"/>
      <c r="B1004" s="14"/>
      <c r="C1004" s="13"/>
      <c r="D1004" s="15"/>
      <c r="E1004" s="13"/>
    </row>
    <row r="1005" spans="1:5" x14ac:dyDescent="0.25">
      <c r="B1005" s="9"/>
      <c r="D1005" s="10"/>
    </row>
    <row r="1006" spans="1:5" x14ac:dyDescent="0.25">
      <c r="A1006" s="13"/>
      <c r="B1006" s="14"/>
      <c r="C1006" s="13"/>
      <c r="D1006" s="15"/>
      <c r="E1006" s="13"/>
    </row>
    <row r="1007" spans="1:5" x14ac:dyDescent="0.25">
      <c r="B1007" s="9"/>
      <c r="D1007" s="10"/>
    </row>
    <row r="1008" spans="1:5" x14ac:dyDescent="0.25">
      <c r="A1008" s="13"/>
      <c r="B1008" s="14"/>
      <c r="C1008" s="13"/>
      <c r="D1008" s="15"/>
      <c r="E1008" s="13"/>
    </row>
    <row r="1009" spans="1:5" x14ac:dyDescent="0.25">
      <c r="B1009" s="9"/>
      <c r="D1009" s="10"/>
    </row>
    <row r="1010" spans="1:5" x14ac:dyDescent="0.25">
      <c r="A1010" s="13"/>
      <c r="B1010" s="14"/>
      <c r="C1010" s="13"/>
      <c r="D1010" s="15"/>
      <c r="E1010" s="13"/>
    </row>
    <row r="1011" spans="1:5" x14ac:dyDescent="0.25">
      <c r="B1011" s="9"/>
      <c r="D1011" s="10"/>
    </row>
    <row r="1012" spans="1:5" x14ac:dyDescent="0.25">
      <c r="A1012" s="13"/>
      <c r="B1012" s="14"/>
      <c r="C1012" s="13"/>
      <c r="D1012" s="15"/>
      <c r="E1012" s="13"/>
    </row>
    <row r="1013" spans="1:5" x14ac:dyDescent="0.25">
      <c r="B1013" s="9"/>
      <c r="D1013" s="10"/>
    </row>
    <row r="1014" spans="1:5" x14ac:dyDescent="0.25">
      <c r="A1014" s="13"/>
      <c r="B1014" s="14"/>
      <c r="C1014" s="13"/>
      <c r="D1014" s="15"/>
      <c r="E1014" s="13"/>
    </row>
    <row r="1015" spans="1:5" x14ac:dyDescent="0.25">
      <c r="B1015" s="9"/>
      <c r="D1015" s="10"/>
    </row>
    <row r="1016" spans="1:5" x14ac:dyDescent="0.25">
      <c r="A1016" s="13"/>
      <c r="B1016" s="14"/>
      <c r="C1016" s="13"/>
      <c r="D1016" s="15"/>
      <c r="E1016" s="13"/>
    </row>
    <row r="1017" spans="1:5" x14ac:dyDescent="0.25">
      <c r="B1017" s="9"/>
      <c r="D1017" s="10"/>
    </row>
    <row r="1018" spans="1:5" x14ac:dyDescent="0.25">
      <c r="A1018" s="13"/>
      <c r="B1018" s="14"/>
      <c r="C1018" s="13"/>
      <c r="D1018" s="15"/>
      <c r="E1018" s="13"/>
    </row>
    <row r="1019" spans="1:5" x14ac:dyDescent="0.25">
      <c r="B1019" s="9"/>
      <c r="D1019" s="10"/>
    </row>
    <row r="1020" spans="1:5" x14ac:dyDescent="0.25">
      <c r="A1020" s="13"/>
      <c r="B1020" s="14"/>
      <c r="C1020" s="13"/>
      <c r="D1020" s="15"/>
      <c r="E1020" s="13"/>
    </row>
    <row r="1021" spans="1:5" x14ac:dyDescent="0.25">
      <c r="B1021" s="9"/>
      <c r="D1021" s="10"/>
    </row>
    <row r="1022" spans="1:5" x14ac:dyDescent="0.25">
      <c r="A1022" s="13"/>
      <c r="B1022" s="14"/>
      <c r="C1022" s="13"/>
      <c r="D1022" s="15"/>
      <c r="E1022" s="13"/>
    </row>
    <row r="1023" spans="1:5" x14ac:dyDescent="0.25">
      <c r="B1023" s="9"/>
      <c r="D1023" s="10"/>
    </row>
    <row r="1024" spans="1:5" x14ac:dyDescent="0.25">
      <c r="A1024" s="13"/>
      <c r="B1024" s="14"/>
      <c r="C1024" s="13"/>
      <c r="D1024" s="15"/>
      <c r="E1024" s="13"/>
    </row>
    <row r="1025" spans="1:5" x14ac:dyDescent="0.25">
      <c r="B1025" s="9"/>
      <c r="D1025" s="10"/>
    </row>
    <row r="1026" spans="1:5" x14ac:dyDescent="0.25">
      <c r="A1026" s="13"/>
      <c r="B1026" s="14"/>
      <c r="C1026" s="13"/>
      <c r="D1026" s="15"/>
      <c r="E1026" s="13"/>
    </row>
    <row r="1027" spans="1:5" x14ac:dyDescent="0.25">
      <c r="B1027" s="9"/>
      <c r="D1027" s="10"/>
    </row>
    <row r="1028" spans="1:5" x14ac:dyDescent="0.25">
      <c r="A1028" s="13"/>
      <c r="B1028" s="14"/>
      <c r="C1028" s="13"/>
      <c r="D1028" s="15"/>
      <c r="E1028" s="13"/>
    </row>
    <row r="1029" spans="1:5" x14ac:dyDescent="0.25">
      <c r="B1029" s="9"/>
      <c r="D1029" s="10"/>
    </row>
    <row r="1030" spans="1:5" x14ac:dyDescent="0.25">
      <c r="A1030" s="13"/>
      <c r="B1030" s="14"/>
      <c r="C1030" s="13"/>
      <c r="D1030" s="15"/>
      <c r="E1030" s="13"/>
    </row>
    <row r="1031" spans="1:5" x14ac:dyDescent="0.25">
      <c r="B1031" s="9"/>
      <c r="D1031" s="10"/>
    </row>
    <row r="1032" spans="1:5" x14ac:dyDescent="0.25">
      <c r="A1032" s="13"/>
      <c r="B1032" s="14"/>
      <c r="C1032" s="13"/>
      <c r="D1032" s="15"/>
      <c r="E1032" s="13"/>
    </row>
    <row r="1033" spans="1:5" x14ac:dyDescent="0.25">
      <c r="B1033" s="9"/>
      <c r="D1033" s="10"/>
    </row>
    <row r="1034" spans="1:5" x14ac:dyDescent="0.25">
      <c r="A1034" s="13"/>
      <c r="B1034" s="14"/>
      <c r="C1034" s="13"/>
      <c r="D1034" s="15"/>
      <c r="E1034" s="13"/>
    </row>
    <row r="1035" spans="1:5" x14ac:dyDescent="0.25">
      <c r="B1035" s="9"/>
      <c r="D1035" s="10"/>
    </row>
    <row r="1036" spans="1:5" x14ac:dyDescent="0.25">
      <c r="A1036" s="13"/>
      <c r="B1036" s="14"/>
      <c r="C1036" s="13"/>
      <c r="D1036" s="15"/>
      <c r="E1036" s="13"/>
    </row>
    <row r="1037" spans="1:5" x14ac:dyDescent="0.25">
      <c r="B1037" s="9"/>
      <c r="D1037" s="10"/>
    </row>
    <row r="1038" spans="1:5" x14ac:dyDescent="0.25">
      <c r="A1038" s="13"/>
      <c r="B1038" s="14"/>
      <c r="C1038" s="13"/>
      <c r="D1038" s="15"/>
      <c r="E1038" s="13"/>
    </row>
    <row r="1039" spans="1:5" x14ac:dyDescent="0.25">
      <c r="B1039" s="9"/>
      <c r="D1039" s="10"/>
    </row>
    <row r="1040" spans="1:5" x14ac:dyDescent="0.25">
      <c r="A1040" s="13"/>
      <c r="B1040" s="14"/>
      <c r="C1040" s="13"/>
      <c r="D1040" s="15"/>
      <c r="E1040" s="13"/>
    </row>
    <row r="1041" spans="1:5" x14ac:dyDescent="0.25">
      <c r="B1041" s="9"/>
      <c r="D1041" s="10"/>
    </row>
    <row r="1042" spans="1:5" x14ac:dyDescent="0.25">
      <c r="A1042" s="13"/>
      <c r="B1042" s="14"/>
      <c r="C1042" s="13"/>
      <c r="D1042" s="15"/>
      <c r="E1042" s="13"/>
    </row>
    <row r="1043" spans="1:5" x14ac:dyDescent="0.25">
      <c r="B1043" s="9"/>
      <c r="D1043" s="10"/>
    </row>
    <row r="1044" spans="1:5" x14ac:dyDescent="0.25">
      <c r="A1044" s="13"/>
      <c r="B1044" s="14"/>
      <c r="C1044" s="13"/>
      <c r="D1044" s="15"/>
      <c r="E1044" s="13"/>
    </row>
    <row r="1045" spans="1:5" x14ac:dyDescent="0.25">
      <c r="B1045" s="9"/>
      <c r="D1045" s="10"/>
    </row>
    <row r="1046" spans="1:5" x14ac:dyDescent="0.25">
      <c r="A1046" s="13"/>
      <c r="B1046" s="14"/>
      <c r="C1046" s="13"/>
      <c r="D1046" s="15"/>
      <c r="E1046" s="13"/>
    </row>
    <row r="1047" spans="1:5" x14ac:dyDescent="0.25">
      <c r="B1047" s="9"/>
      <c r="D1047" s="10"/>
    </row>
    <row r="1048" spans="1:5" x14ac:dyDescent="0.25">
      <c r="A1048" s="13"/>
      <c r="B1048" s="14"/>
      <c r="C1048" s="13"/>
      <c r="D1048" s="15"/>
      <c r="E1048" s="13"/>
    </row>
    <row r="1049" spans="1:5" x14ac:dyDescent="0.25">
      <c r="B1049" s="9"/>
      <c r="D1049" s="10"/>
    </row>
    <row r="1050" spans="1:5" x14ac:dyDescent="0.25">
      <c r="A1050" s="13"/>
      <c r="B1050" s="14"/>
      <c r="C1050" s="13"/>
      <c r="D1050" s="15"/>
      <c r="E1050" s="13"/>
    </row>
    <row r="1051" spans="1:5" x14ac:dyDescent="0.25">
      <c r="B1051" s="9"/>
      <c r="D1051" s="10"/>
    </row>
    <row r="1052" spans="1:5" x14ac:dyDescent="0.25">
      <c r="A1052" s="13"/>
      <c r="B1052" s="14"/>
      <c r="C1052" s="13"/>
      <c r="D1052" s="15"/>
      <c r="E1052" s="13"/>
    </row>
    <row r="1053" spans="1:5" x14ac:dyDescent="0.25">
      <c r="B1053" s="9"/>
      <c r="D1053" s="10"/>
    </row>
    <row r="1054" spans="1:5" x14ac:dyDescent="0.25">
      <c r="A1054" s="13"/>
      <c r="B1054" s="14"/>
      <c r="C1054" s="13"/>
      <c r="D1054" s="15"/>
      <c r="E1054" s="13"/>
    </row>
    <row r="1055" spans="1:5" x14ac:dyDescent="0.25">
      <c r="B1055" s="9"/>
      <c r="D1055" s="10"/>
    </row>
    <row r="1056" spans="1:5" x14ac:dyDescent="0.25">
      <c r="A1056" s="13"/>
      <c r="B1056" s="14"/>
      <c r="C1056" s="13"/>
      <c r="D1056" s="15"/>
      <c r="E1056" s="13"/>
    </row>
    <row r="1057" spans="1:5" x14ac:dyDescent="0.25">
      <c r="B1057" s="9"/>
      <c r="D1057" s="10"/>
    </row>
    <row r="1058" spans="1:5" x14ac:dyDescent="0.25">
      <c r="A1058" s="13"/>
      <c r="B1058" s="14"/>
      <c r="C1058" s="13"/>
      <c r="D1058" s="15"/>
      <c r="E1058" s="13"/>
    </row>
    <row r="1059" spans="1:5" x14ac:dyDescent="0.25">
      <c r="B1059" s="9"/>
      <c r="D1059" s="10"/>
    </row>
    <row r="1060" spans="1:5" x14ac:dyDescent="0.25">
      <c r="A1060" s="13"/>
      <c r="B1060" s="14"/>
      <c r="C1060" s="13"/>
      <c r="D1060" s="15"/>
      <c r="E1060" s="13"/>
    </row>
    <row r="1061" spans="1:5" x14ac:dyDescent="0.25">
      <c r="B1061" s="9"/>
      <c r="D1061" s="10"/>
    </row>
  </sheetData>
  <sortState xmlns:xlrd2="http://schemas.microsoft.com/office/spreadsheetml/2017/richdata2" ref="A3:A9">
    <sortCondition ref="A9"/>
  </sortState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U1443"/>
  <sheetViews>
    <sheetView showGridLines="0" zoomScaleNormal="100" workbookViewId="0">
      <selection activeCell="D10" sqref="D10"/>
    </sheetView>
  </sheetViews>
  <sheetFormatPr defaultColWidth="9" defaultRowHeight="15" x14ac:dyDescent="0.25"/>
  <cols>
    <col min="1" max="1" width="9" bestFit="1" customWidth="1"/>
    <col min="2" max="2" width="11.5703125" bestFit="1" customWidth="1"/>
    <col min="3" max="3" width="26.85546875" bestFit="1" customWidth="1"/>
    <col min="4" max="4" width="18.7109375" style="2" bestFit="1" customWidth="1"/>
    <col min="5" max="5" width="20.42578125" bestFit="1" customWidth="1"/>
    <col min="6" max="6" width="17.140625" customWidth="1"/>
    <col min="7" max="7" width="26.85546875" bestFit="1" customWidth="1"/>
    <col min="8" max="8" width="13.42578125" customWidth="1"/>
    <col min="9" max="10" width="17.42578125" customWidth="1"/>
    <col min="11" max="11" width="13.42578125" customWidth="1"/>
    <col min="12" max="12" width="13.42578125" bestFit="1" customWidth="1"/>
    <col min="13" max="13" width="13.42578125" customWidth="1"/>
    <col min="14" max="14" width="13" customWidth="1"/>
    <col min="15" max="15" width="12.85546875" customWidth="1"/>
    <col min="16" max="16" width="17.140625" bestFit="1" customWidth="1"/>
    <col min="17" max="17" width="12.5703125" bestFit="1" customWidth="1"/>
    <col min="18" max="18" width="14" customWidth="1"/>
    <col min="20" max="20" width="13.28515625" bestFit="1" customWidth="1"/>
    <col min="21" max="21" width="13.42578125" customWidth="1"/>
  </cols>
  <sheetData>
    <row r="1" spans="1:21" ht="45" customHeight="1" thickBot="1" x14ac:dyDescent="0.3">
      <c r="A1" s="34" t="s">
        <v>0</v>
      </c>
      <c r="B1" s="34" t="s">
        <v>1</v>
      </c>
      <c r="C1" s="34" t="s">
        <v>2</v>
      </c>
      <c r="D1" s="35" t="s">
        <v>3</v>
      </c>
      <c r="E1" s="34" t="s">
        <v>4</v>
      </c>
      <c r="F1" s="35" t="s">
        <v>12</v>
      </c>
      <c r="G1" s="53" t="s">
        <v>30</v>
      </c>
      <c r="H1" s="53" t="s">
        <v>29</v>
      </c>
      <c r="I1" s="53" t="s">
        <v>31</v>
      </c>
      <c r="J1" s="53" t="s">
        <v>32</v>
      </c>
      <c r="K1" s="28" t="s">
        <v>33</v>
      </c>
      <c r="L1" s="28" t="s">
        <v>34</v>
      </c>
      <c r="M1" s="28" t="s">
        <v>35</v>
      </c>
      <c r="N1" s="28" t="s">
        <v>36</v>
      </c>
      <c r="O1" s="28" t="s">
        <v>37</v>
      </c>
      <c r="P1" s="58" t="s">
        <v>38</v>
      </c>
      <c r="Q1" s="60" t="s">
        <v>39</v>
      </c>
      <c r="R1" s="60" t="s">
        <v>41</v>
      </c>
      <c r="S1" s="60" t="s">
        <v>42</v>
      </c>
      <c r="T1" s="61" t="s">
        <v>33</v>
      </c>
      <c r="U1" s="60" t="s">
        <v>44</v>
      </c>
    </row>
    <row r="2" spans="1:21" ht="16.5" thickTop="1" x14ac:dyDescent="0.25">
      <c r="A2" s="50" t="s">
        <v>68</v>
      </c>
      <c r="B2" s="51">
        <v>45520</v>
      </c>
      <c r="C2" s="50" t="s">
        <v>47</v>
      </c>
      <c r="D2" s="52">
        <v>80</v>
      </c>
      <c r="E2" s="50" t="s">
        <v>74</v>
      </c>
      <c r="F2" s="51">
        <v>45520</v>
      </c>
      <c r="G2" s="49" t="s">
        <v>45</v>
      </c>
      <c r="H2" s="32">
        <v>2</v>
      </c>
      <c r="I2" s="33">
        <f ca="1">H2/$H$7</f>
        <v>0.1</v>
      </c>
      <c r="J2" s="32">
        <f t="shared" ref="J2:J7" ca="1" si="0">I2*$P$8</f>
        <v>690.6</v>
      </c>
      <c r="K2" s="31" t="s">
        <v>67</v>
      </c>
      <c r="L2" s="38">
        <v>3000</v>
      </c>
      <c r="M2" s="36">
        <v>220</v>
      </c>
      <c r="N2" s="47">
        <f>L2/M2</f>
        <v>13.636363636363637</v>
      </c>
      <c r="O2" s="31" t="s">
        <v>21</v>
      </c>
      <c r="P2" s="68">
        <v>5000</v>
      </c>
      <c r="Q2" s="62">
        <f>IF(A2=$K$2,D2/60*$N$2,IF(A2=$K$3,D2/60*$N$3,IF(A2=$K$4,D2/60*$N$4,IF(A2=$K$5,D2/60*$N$5,IF(A2=$K$6,D2/60*$N$6,IF(A2=$K$7,D2/60*$N$7,IF(A2=$K$8,D2/60*$N$8,"")))))))</f>
        <v>22.424242424242422</v>
      </c>
      <c r="R2" s="63">
        <f>IF(D2="","",D2/$S$2)</f>
        <v>2.4169184290030211E-2</v>
      </c>
      <c r="S2" s="64">
        <f>SUM(D2:D1048576)</f>
        <v>3310</v>
      </c>
      <c r="T2" s="65" t="s">
        <v>66</v>
      </c>
      <c r="U2" s="63">
        <f>SUMIF($A$2:$A$957,T2,$R$2:$R$957)</f>
        <v>6.3444108761329304E-2</v>
      </c>
    </row>
    <row r="3" spans="1:21" ht="15.75" x14ac:dyDescent="0.25">
      <c r="A3" s="8" t="s">
        <v>68</v>
      </c>
      <c r="B3" s="9">
        <v>45514</v>
      </c>
      <c r="C3" s="8" t="s">
        <v>45</v>
      </c>
      <c r="D3" s="22">
        <v>90</v>
      </c>
      <c r="E3" s="8" t="s">
        <v>75</v>
      </c>
      <c r="F3" s="9">
        <v>45520</v>
      </c>
      <c r="G3" s="8" t="s">
        <v>46</v>
      </c>
      <c r="H3" s="24">
        <v>3</v>
      </c>
      <c r="I3" s="25">
        <f ca="1">H3/$H$7</f>
        <v>0.15</v>
      </c>
      <c r="J3" s="24">
        <f t="shared" ca="1" si="0"/>
        <v>1035.8999999999999</v>
      </c>
      <c r="K3" s="8" t="s">
        <v>70</v>
      </c>
      <c r="L3" s="39">
        <v>2500</v>
      </c>
      <c r="M3" s="37">
        <v>220</v>
      </c>
      <c r="N3" s="48">
        <f t="shared" ref="N3:N8" si="1">L3/M3</f>
        <v>11.363636363636363</v>
      </c>
      <c r="O3" s="8" t="s">
        <v>22</v>
      </c>
      <c r="P3" s="39">
        <v>200</v>
      </c>
      <c r="Q3" s="48">
        <f t="shared" ref="Q3:Q66" si="2">IF(A3=$K$2,D3/60*$N$2,IF(A3=$K$3,D3/60*$N$3,IF(A3=$K$4,D3/60*$N$4,IF(A3=$K$5,D3/60*$N$5,IF(A3=$K$6,D3/60*$N$6,IF(A3=$K$7,D3/60*$N$7,IF(A3=$K$8,D3/60*$N$8,"")))))))</f>
        <v>25.227272727272727</v>
      </c>
      <c r="R3" s="25">
        <f t="shared" ref="R3:R66" si="3">IF(D3="","",D3/$S$2)</f>
        <v>2.7190332326283987E-2</v>
      </c>
      <c r="T3" s="8" t="s">
        <v>67</v>
      </c>
      <c r="U3" s="25">
        <f t="shared" ref="U3:U8" si="4">SUMIF($A$2:$A$957,T3,$R$2:$R$957)</f>
        <v>0.16616314199395771</v>
      </c>
    </row>
    <row r="4" spans="1:21" ht="15.75" x14ac:dyDescent="0.25">
      <c r="A4" s="5" t="s">
        <v>68</v>
      </c>
      <c r="B4" s="6">
        <v>45512</v>
      </c>
      <c r="C4" s="5" t="s">
        <v>48</v>
      </c>
      <c r="D4" s="7">
        <v>50</v>
      </c>
      <c r="E4" s="5" t="s">
        <v>75</v>
      </c>
      <c r="F4" s="6">
        <v>45520</v>
      </c>
      <c r="G4" s="31" t="s">
        <v>47</v>
      </c>
      <c r="H4" s="32">
        <v>4</v>
      </c>
      <c r="I4" s="33">
        <f ca="1">H4/$H$7</f>
        <v>0.2</v>
      </c>
      <c r="J4" s="32">
        <f t="shared" ca="1" si="0"/>
        <v>1381.2</v>
      </c>
      <c r="K4" s="31" t="s">
        <v>68</v>
      </c>
      <c r="L4" s="38">
        <v>3700</v>
      </c>
      <c r="M4" s="36">
        <v>220</v>
      </c>
      <c r="N4" s="47">
        <f t="shared" si="1"/>
        <v>16.818181818181817</v>
      </c>
      <c r="O4" s="31" t="s">
        <v>23</v>
      </c>
      <c r="P4" s="38">
        <v>138</v>
      </c>
      <c r="Q4" s="66">
        <f t="shared" si="2"/>
        <v>14.015151515151514</v>
      </c>
      <c r="R4" s="30">
        <f t="shared" si="3"/>
        <v>1.5105740181268883E-2</v>
      </c>
      <c r="T4" s="29" t="s">
        <v>68</v>
      </c>
      <c r="U4" s="30">
        <f t="shared" si="4"/>
        <v>9.3655589123867081E-2</v>
      </c>
    </row>
    <row r="5" spans="1:21" ht="15.75" x14ac:dyDescent="0.25">
      <c r="A5" s="8" t="s">
        <v>68</v>
      </c>
      <c r="B5" s="9">
        <v>45509</v>
      </c>
      <c r="C5" s="8" t="s">
        <v>45</v>
      </c>
      <c r="D5" s="22">
        <v>30</v>
      </c>
      <c r="E5" s="8" t="s">
        <v>75</v>
      </c>
      <c r="F5" s="9">
        <v>45520</v>
      </c>
      <c r="G5" s="8" t="s">
        <v>48</v>
      </c>
      <c r="H5" s="24">
        <v>5</v>
      </c>
      <c r="I5" s="25">
        <f ca="1">H5/$H$7</f>
        <v>0.25</v>
      </c>
      <c r="J5" s="24">
        <f t="shared" ca="1" si="0"/>
        <v>1726.5</v>
      </c>
      <c r="K5" s="8" t="s">
        <v>66</v>
      </c>
      <c r="L5" s="39">
        <v>4100</v>
      </c>
      <c r="M5" s="37">
        <v>220</v>
      </c>
      <c r="N5" s="48">
        <f t="shared" si="1"/>
        <v>18.636363636363637</v>
      </c>
      <c r="O5" s="8" t="s">
        <v>24</v>
      </c>
      <c r="P5" s="39">
        <v>400</v>
      </c>
      <c r="Q5" s="48">
        <f t="shared" si="2"/>
        <v>8.4090909090909083</v>
      </c>
      <c r="R5" s="25">
        <f t="shared" si="3"/>
        <v>9.0634441087613302E-3</v>
      </c>
      <c r="T5" s="8" t="s">
        <v>69</v>
      </c>
      <c r="U5" s="25">
        <f t="shared" si="4"/>
        <v>0.13595166163141992</v>
      </c>
    </row>
    <row r="6" spans="1:21" ht="15.75" x14ac:dyDescent="0.25">
      <c r="A6" s="5" t="s">
        <v>68</v>
      </c>
      <c r="B6" s="6">
        <v>45510</v>
      </c>
      <c r="C6" s="5" t="s">
        <v>49</v>
      </c>
      <c r="D6" s="7">
        <v>10</v>
      </c>
      <c r="E6" s="5" t="s">
        <v>76</v>
      </c>
      <c r="F6" s="6">
        <v>45520</v>
      </c>
      <c r="G6" s="31" t="s">
        <v>49</v>
      </c>
      <c r="H6" s="32">
        <v>6</v>
      </c>
      <c r="I6" s="33">
        <f ca="1">H6/$H$7</f>
        <v>0.3</v>
      </c>
      <c r="J6" s="32">
        <f t="shared" ca="1" si="0"/>
        <v>2071.7999999999997</v>
      </c>
      <c r="K6" s="31" t="s">
        <v>69</v>
      </c>
      <c r="L6" s="38">
        <v>5000</v>
      </c>
      <c r="M6" s="36">
        <v>220</v>
      </c>
      <c r="N6" s="47">
        <f t="shared" si="1"/>
        <v>22.727272727272727</v>
      </c>
      <c r="O6" s="31" t="s">
        <v>25</v>
      </c>
      <c r="P6" s="38">
        <v>800</v>
      </c>
      <c r="Q6" s="66">
        <f t="shared" si="2"/>
        <v>2.8030303030303028</v>
      </c>
      <c r="R6" s="30">
        <f t="shared" si="3"/>
        <v>3.0211480362537764E-3</v>
      </c>
      <c r="T6" s="29" t="s">
        <v>70</v>
      </c>
      <c r="U6" s="30">
        <f t="shared" si="4"/>
        <v>0.26888217522658614</v>
      </c>
    </row>
    <row r="7" spans="1:21" ht="15.75" x14ac:dyDescent="0.25">
      <c r="A7" s="8" t="s">
        <v>68</v>
      </c>
      <c r="B7" s="9">
        <v>45505</v>
      </c>
      <c r="C7" s="8" t="s">
        <v>45</v>
      </c>
      <c r="D7" s="22">
        <v>50</v>
      </c>
      <c r="E7" s="8" t="s">
        <v>76</v>
      </c>
      <c r="F7" s="9">
        <v>45520</v>
      </c>
      <c r="G7" s="54" t="s">
        <v>28</v>
      </c>
      <c r="H7" s="55">
        <f ca="1">SUM(H2:H22)</f>
        <v>20</v>
      </c>
      <c r="I7" s="56">
        <f ca="1">SUM(I2:I22)</f>
        <v>1</v>
      </c>
      <c r="J7" s="57">
        <f t="shared" ca="1" si="0"/>
        <v>6906</v>
      </c>
      <c r="K7" s="8" t="s">
        <v>10</v>
      </c>
      <c r="L7" s="39">
        <v>2100</v>
      </c>
      <c r="M7" s="37">
        <v>220</v>
      </c>
      <c r="N7" s="48">
        <f t="shared" si="1"/>
        <v>9.545454545454545</v>
      </c>
      <c r="O7" s="8" t="s">
        <v>26</v>
      </c>
      <c r="P7" s="39">
        <v>368</v>
      </c>
      <c r="Q7" s="48">
        <f t="shared" si="2"/>
        <v>14.015151515151514</v>
      </c>
      <c r="R7" s="25">
        <f t="shared" si="3"/>
        <v>1.5105740181268883E-2</v>
      </c>
      <c r="T7" s="8" t="s">
        <v>71</v>
      </c>
      <c r="U7" s="25">
        <f t="shared" si="4"/>
        <v>0.12386706948640484</v>
      </c>
    </row>
    <row r="8" spans="1:21" ht="15.75" x14ac:dyDescent="0.25">
      <c r="A8" s="5" t="s">
        <v>66</v>
      </c>
      <c r="B8" s="6">
        <v>45479</v>
      </c>
      <c r="C8" s="5" t="s">
        <v>46</v>
      </c>
      <c r="D8" s="7">
        <v>30</v>
      </c>
      <c r="E8" s="5" t="s">
        <v>74</v>
      </c>
      <c r="F8" s="6">
        <v>45503</v>
      </c>
      <c r="G8" s="8"/>
      <c r="H8" s="70"/>
      <c r="I8" s="69"/>
      <c r="J8" s="70"/>
      <c r="K8" s="31" t="s">
        <v>71</v>
      </c>
      <c r="L8" s="38">
        <v>5800</v>
      </c>
      <c r="M8" s="36">
        <v>220</v>
      </c>
      <c r="N8" s="47">
        <f t="shared" si="1"/>
        <v>26.363636363636363</v>
      </c>
      <c r="O8" s="31" t="s">
        <v>27</v>
      </c>
      <c r="P8" s="38">
        <f>SUM(P2:P7)</f>
        <v>6906</v>
      </c>
      <c r="Q8" s="66">
        <f t="shared" si="2"/>
        <v>9.3181818181818183</v>
      </c>
      <c r="R8" s="30">
        <f t="shared" si="3"/>
        <v>9.0634441087613302E-3</v>
      </c>
      <c r="T8" s="29" t="s">
        <v>78</v>
      </c>
      <c r="U8" s="30">
        <f t="shared" si="4"/>
        <v>0.14803625377643506</v>
      </c>
    </row>
    <row r="9" spans="1:21" ht="15.75" x14ac:dyDescent="0.25">
      <c r="A9" s="8" t="s">
        <v>66</v>
      </c>
      <c r="B9" s="9">
        <v>45474</v>
      </c>
      <c r="C9" s="8" t="s">
        <v>46</v>
      </c>
      <c r="D9" s="22">
        <v>10</v>
      </c>
      <c r="E9" s="8" t="s">
        <v>74</v>
      </c>
      <c r="F9" s="9">
        <v>45503</v>
      </c>
      <c r="G9" s="8"/>
      <c r="H9" s="70"/>
      <c r="I9" s="69"/>
      <c r="J9" s="70"/>
      <c r="K9" s="67"/>
      <c r="L9" s="39"/>
      <c r="M9" s="37"/>
      <c r="N9" s="48"/>
      <c r="O9" s="8"/>
      <c r="P9" s="39"/>
      <c r="Q9" s="48">
        <f t="shared" si="2"/>
        <v>3.106060606060606</v>
      </c>
      <c r="R9" s="25">
        <f t="shared" si="3"/>
        <v>3.0211480362537764E-3</v>
      </c>
      <c r="T9" s="8"/>
      <c r="U9" s="69"/>
    </row>
    <row r="10" spans="1:21" ht="15.75" x14ac:dyDescent="0.25">
      <c r="A10" s="5" t="s">
        <v>66</v>
      </c>
      <c r="B10" s="6">
        <v>45502</v>
      </c>
      <c r="C10" s="5" t="s">
        <v>45</v>
      </c>
      <c r="D10" s="7">
        <v>90</v>
      </c>
      <c r="E10" s="5" t="s">
        <v>74</v>
      </c>
      <c r="F10" s="6">
        <v>45503</v>
      </c>
      <c r="G10" s="8"/>
      <c r="H10" s="70"/>
      <c r="I10" s="69"/>
      <c r="J10" s="70"/>
      <c r="K10" s="8"/>
      <c r="L10" s="39"/>
      <c r="M10" s="37"/>
      <c r="N10" s="48"/>
      <c r="O10" s="8"/>
      <c r="P10" s="39"/>
      <c r="Q10" s="66">
        <f t="shared" si="2"/>
        <v>27.954545454545453</v>
      </c>
      <c r="R10" s="30">
        <f t="shared" si="3"/>
        <v>2.7190332326283987E-2</v>
      </c>
      <c r="T10" s="8"/>
      <c r="U10" s="69"/>
    </row>
    <row r="11" spans="1:21" ht="15.75" x14ac:dyDescent="0.25">
      <c r="A11" s="8" t="s">
        <v>66</v>
      </c>
      <c r="B11" s="9">
        <v>45495</v>
      </c>
      <c r="C11" s="8" t="s">
        <v>48</v>
      </c>
      <c r="D11" s="22">
        <v>40</v>
      </c>
      <c r="E11" s="8" t="s">
        <v>75</v>
      </c>
      <c r="F11" s="9">
        <v>45503</v>
      </c>
      <c r="G11" s="8"/>
      <c r="H11" s="70"/>
      <c r="I11" s="69"/>
      <c r="J11" s="70"/>
      <c r="K11" s="67"/>
      <c r="L11" s="27"/>
      <c r="M11" s="27"/>
      <c r="N11" s="8"/>
      <c r="O11" s="8"/>
      <c r="P11" s="39"/>
      <c r="Q11" s="48">
        <f t="shared" si="2"/>
        <v>12.424242424242424</v>
      </c>
      <c r="R11" s="25">
        <f t="shared" si="3"/>
        <v>1.2084592145015106E-2</v>
      </c>
    </row>
    <row r="12" spans="1:21" ht="15.75" x14ac:dyDescent="0.25">
      <c r="A12" s="5" t="s">
        <v>66</v>
      </c>
      <c r="B12" s="6">
        <v>45478</v>
      </c>
      <c r="C12" s="5" t="s">
        <v>49</v>
      </c>
      <c r="D12" s="7">
        <v>40</v>
      </c>
      <c r="E12" s="5" t="s">
        <v>77</v>
      </c>
      <c r="F12" s="6">
        <v>45503</v>
      </c>
      <c r="G12" s="8"/>
      <c r="H12" s="70"/>
      <c r="I12" s="69"/>
      <c r="J12" s="70"/>
      <c r="K12" s="8"/>
      <c r="L12" s="27"/>
      <c r="M12" s="27"/>
      <c r="N12" s="8"/>
      <c r="O12" s="8"/>
      <c r="P12" s="39"/>
      <c r="Q12" s="66">
        <f t="shared" si="2"/>
        <v>12.424242424242424</v>
      </c>
      <c r="R12" s="30">
        <f t="shared" si="3"/>
        <v>1.2084592145015106E-2</v>
      </c>
    </row>
    <row r="13" spans="1:21" ht="15.75" x14ac:dyDescent="0.25">
      <c r="A13" s="8" t="s">
        <v>71</v>
      </c>
      <c r="B13" s="9">
        <v>45426</v>
      </c>
      <c r="C13" s="8" t="s">
        <v>47</v>
      </c>
      <c r="D13" s="22">
        <v>60</v>
      </c>
      <c r="E13" s="8" t="s">
        <v>76</v>
      </c>
      <c r="F13" s="9">
        <v>45461</v>
      </c>
      <c r="G13" s="8"/>
      <c r="H13" s="70"/>
      <c r="I13" s="69"/>
      <c r="J13" s="70"/>
      <c r="K13" s="8"/>
      <c r="L13" s="27"/>
      <c r="M13" s="27"/>
      <c r="N13" s="8"/>
      <c r="O13" s="8"/>
      <c r="P13" s="39"/>
      <c r="Q13" s="48">
        <f t="shared" si="2"/>
        <v>26.363636363636363</v>
      </c>
      <c r="R13" s="25">
        <f t="shared" si="3"/>
        <v>1.812688821752266E-2</v>
      </c>
    </row>
    <row r="14" spans="1:21" ht="15.75" x14ac:dyDescent="0.25">
      <c r="A14" s="5" t="s">
        <v>71</v>
      </c>
      <c r="B14" s="6">
        <v>45428</v>
      </c>
      <c r="C14" s="5" t="s">
        <v>48</v>
      </c>
      <c r="D14" s="7">
        <v>60</v>
      </c>
      <c r="E14" s="5" t="s">
        <v>76</v>
      </c>
      <c r="F14" s="6">
        <v>45461</v>
      </c>
      <c r="G14" s="8"/>
      <c r="H14" s="70"/>
      <c r="I14" s="69"/>
      <c r="J14" s="70"/>
      <c r="K14" s="8"/>
      <c r="L14" s="27"/>
      <c r="M14" s="27"/>
      <c r="N14" s="8"/>
      <c r="O14" s="8"/>
      <c r="P14" s="39"/>
      <c r="Q14" s="66">
        <f t="shared" si="2"/>
        <v>26.363636363636363</v>
      </c>
      <c r="R14" s="30">
        <f t="shared" si="3"/>
        <v>1.812688821752266E-2</v>
      </c>
    </row>
    <row r="15" spans="1:21" ht="15.75" x14ac:dyDescent="0.25">
      <c r="A15" s="8" t="s">
        <v>71</v>
      </c>
      <c r="B15" s="9">
        <v>45431</v>
      </c>
      <c r="C15" s="8" t="s">
        <v>45</v>
      </c>
      <c r="D15" s="22">
        <v>20</v>
      </c>
      <c r="E15" s="8" t="s">
        <v>76</v>
      </c>
      <c r="F15" s="9">
        <v>45461</v>
      </c>
      <c r="G15" s="8"/>
      <c r="H15" s="70"/>
      <c r="I15" s="69"/>
      <c r="J15" s="70"/>
      <c r="K15" s="8"/>
      <c r="L15" s="27"/>
      <c r="M15" s="27"/>
      <c r="N15" s="8"/>
      <c r="O15" s="8"/>
      <c r="P15" s="39"/>
      <c r="Q15" s="48">
        <f t="shared" si="2"/>
        <v>8.7878787878787872</v>
      </c>
      <c r="R15" s="25">
        <f t="shared" si="3"/>
        <v>6.0422960725075529E-3</v>
      </c>
    </row>
    <row r="16" spans="1:21" ht="15.75" x14ac:dyDescent="0.25">
      <c r="A16" s="5" t="s">
        <v>71</v>
      </c>
      <c r="B16" s="6">
        <v>45434</v>
      </c>
      <c r="C16" s="5" t="s">
        <v>46</v>
      </c>
      <c r="D16" s="7">
        <v>120</v>
      </c>
      <c r="E16" s="5" t="s">
        <v>75</v>
      </c>
      <c r="F16" s="6">
        <v>45461</v>
      </c>
      <c r="G16" s="8"/>
      <c r="H16" s="70"/>
      <c r="I16" s="69"/>
      <c r="J16" s="70"/>
      <c r="K16" s="8"/>
      <c r="L16" s="26"/>
      <c r="M16" s="26"/>
      <c r="N16" s="8"/>
      <c r="O16" s="8"/>
      <c r="P16" s="39"/>
      <c r="Q16" s="66">
        <f t="shared" si="2"/>
        <v>52.727272727272727</v>
      </c>
      <c r="R16" s="30">
        <f t="shared" si="3"/>
        <v>3.6253776435045321E-2</v>
      </c>
    </row>
    <row r="17" spans="1:18" ht="15.75" x14ac:dyDescent="0.25">
      <c r="A17" s="8" t="s">
        <v>71</v>
      </c>
      <c r="B17" s="9">
        <v>45430</v>
      </c>
      <c r="C17" s="8" t="s">
        <v>47</v>
      </c>
      <c r="D17" s="22">
        <v>150</v>
      </c>
      <c r="E17" s="8" t="s">
        <v>74</v>
      </c>
      <c r="F17" s="9">
        <v>45461</v>
      </c>
      <c r="G17" s="8"/>
      <c r="H17" s="70"/>
      <c r="I17" s="69"/>
      <c r="J17" s="70"/>
      <c r="K17" s="8"/>
      <c r="L17" s="26"/>
      <c r="M17" s="26"/>
      <c r="N17" s="8"/>
      <c r="O17" s="8"/>
      <c r="P17" s="39"/>
      <c r="Q17" s="48">
        <f t="shared" si="2"/>
        <v>65.909090909090907</v>
      </c>
      <c r="R17" s="25">
        <f t="shared" si="3"/>
        <v>4.5317220543806644E-2</v>
      </c>
    </row>
    <row r="18" spans="1:18" ht="15.75" x14ac:dyDescent="0.25">
      <c r="A18" s="5" t="s">
        <v>70</v>
      </c>
      <c r="B18" s="6">
        <v>45321</v>
      </c>
      <c r="C18" s="5" t="s">
        <v>45</v>
      </c>
      <c r="D18" s="7">
        <v>220</v>
      </c>
      <c r="E18" s="5" t="s">
        <v>76</v>
      </c>
      <c r="F18" s="6">
        <v>45505</v>
      </c>
      <c r="G18" s="8"/>
      <c r="H18" s="70"/>
      <c r="I18" s="69"/>
      <c r="J18" s="70"/>
      <c r="K18" s="8"/>
      <c r="L18" s="27"/>
      <c r="M18" s="27"/>
      <c r="N18" s="8"/>
      <c r="O18" s="8"/>
      <c r="P18" s="39"/>
      <c r="Q18" s="66">
        <f t="shared" si="2"/>
        <v>41.666666666666664</v>
      </c>
      <c r="R18" s="30">
        <f t="shared" si="3"/>
        <v>6.6465256797583083E-2</v>
      </c>
    </row>
    <row r="19" spans="1:18" ht="15.75" x14ac:dyDescent="0.25">
      <c r="A19" s="8" t="s">
        <v>70</v>
      </c>
      <c r="B19" s="9">
        <v>45414</v>
      </c>
      <c r="C19" s="8" t="s">
        <v>46</v>
      </c>
      <c r="D19" s="22">
        <v>230</v>
      </c>
      <c r="E19" s="8" t="s">
        <v>74</v>
      </c>
      <c r="F19" s="9">
        <v>45505</v>
      </c>
      <c r="G19" s="8"/>
      <c r="H19" s="70"/>
      <c r="I19" s="69"/>
      <c r="J19" s="70"/>
      <c r="L19" s="27"/>
      <c r="M19" s="27"/>
      <c r="N19" s="8"/>
      <c r="O19" s="8"/>
      <c r="P19" s="39"/>
      <c r="Q19" s="48">
        <f t="shared" si="2"/>
        <v>43.560606060606062</v>
      </c>
      <c r="R19" s="25">
        <f t="shared" si="3"/>
        <v>6.9486404833836862E-2</v>
      </c>
    </row>
    <row r="20" spans="1:18" ht="15.75" x14ac:dyDescent="0.25">
      <c r="A20" s="5" t="s">
        <v>70</v>
      </c>
      <c r="B20" s="6">
        <v>45306</v>
      </c>
      <c r="C20" s="5" t="s">
        <v>48</v>
      </c>
      <c r="D20" s="7">
        <v>250</v>
      </c>
      <c r="E20" s="5" t="s">
        <v>76</v>
      </c>
      <c r="F20" s="6">
        <v>45505</v>
      </c>
      <c r="G20" s="8"/>
      <c r="H20" s="70"/>
      <c r="I20" s="69"/>
      <c r="J20" s="70"/>
      <c r="K20" s="8"/>
      <c r="L20" s="27"/>
      <c r="M20" s="27"/>
      <c r="N20" s="8"/>
      <c r="O20" s="8"/>
      <c r="P20" s="39"/>
      <c r="Q20" s="66">
        <f t="shared" si="2"/>
        <v>47.348484848484851</v>
      </c>
      <c r="R20" s="30">
        <f t="shared" si="3"/>
        <v>7.5528700906344406E-2</v>
      </c>
    </row>
    <row r="21" spans="1:18" ht="15.75" x14ac:dyDescent="0.25">
      <c r="A21" s="8" t="s">
        <v>70</v>
      </c>
      <c r="B21" s="9">
        <v>45351</v>
      </c>
      <c r="C21" s="8" t="s">
        <v>47</v>
      </c>
      <c r="D21" s="22">
        <v>110</v>
      </c>
      <c r="E21" s="8" t="s">
        <v>75</v>
      </c>
      <c r="F21" s="9">
        <v>45505</v>
      </c>
      <c r="G21" s="8"/>
      <c r="H21" s="70"/>
      <c r="I21" s="69"/>
      <c r="J21" s="70"/>
      <c r="K21" s="13"/>
      <c r="L21" s="27"/>
      <c r="M21" s="27"/>
      <c r="N21" s="8"/>
      <c r="O21" s="8"/>
      <c r="P21" s="39"/>
      <c r="Q21" s="48">
        <f t="shared" si="2"/>
        <v>20.833333333333332</v>
      </c>
      <c r="R21" s="25">
        <f t="shared" si="3"/>
        <v>3.3232628398791542E-2</v>
      </c>
    </row>
    <row r="22" spans="1:18" ht="15.75" x14ac:dyDescent="0.25">
      <c r="A22" s="5" t="s">
        <v>70</v>
      </c>
      <c r="B22" s="6">
        <v>45381</v>
      </c>
      <c r="C22" s="5" t="s">
        <v>49</v>
      </c>
      <c r="D22" s="7">
        <v>80</v>
      </c>
      <c r="E22" s="5" t="s">
        <v>75</v>
      </c>
      <c r="F22" s="6">
        <v>45505</v>
      </c>
      <c r="G22" s="8"/>
      <c r="H22" s="70"/>
      <c r="I22" s="69"/>
      <c r="J22" s="70"/>
      <c r="K22" s="27"/>
      <c r="L22" s="27"/>
      <c r="M22" s="27"/>
      <c r="N22" s="8"/>
      <c r="O22" s="8"/>
      <c r="P22" s="39"/>
      <c r="Q22" s="66">
        <f t="shared" si="2"/>
        <v>15.15151515151515</v>
      </c>
      <c r="R22" s="30">
        <f t="shared" si="3"/>
        <v>2.4169184290030211E-2</v>
      </c>
    </row>
    <row r="23" spans="1:18" ht="15.75" x14ac:dyDescent="0.25">
      <c r="A23" s="8" t="s">
        <v>67</v>
      </c>
      <c r="B23" s="9">
        <v>45421</v>
      </c>
      <c r="C23" s="8" t="s">
        <v>46</v>
      </c>
      <c r="D23" s="22">
        <v>50</v>
      </c>
      <c r="E23" s="8" t="s">
        <v>75</v>
      </c>
      <c r="F23" s="9">
        <v>45498</v>
      </c>
      <c r="K23" s="26"/>
      <c r="L23" s="26"/>
      <c r="M23" s="26"/>
      <c r="N23" s="8"/>
      <c r="Q23" s="48">
        <f t="shared" si="2"/>
        <v>11.363636363636365</v>
      </c>
      <c r="R23" s="25">
        <f t="shared" si="3"/>
        <v>1.5105740181268883E-2</v>
      </c>
    </row>
    <row r="24" spans="1:18" ht="15.75" x14ac:dyDescent="0.25">
      <c r="A24" s="5" t="s">
        <v>67</v>
      </c>
      <c r="B24" s="6">
        <v>45384</v>
      </c>
      <c r="C24" s="5" t="s">
        <v>46</v>
      </c>
      <c r="D24" s="7">
        <v>90</v>
      </c>
      <c r="E24" s="5" t="s">
        <v>74</v>
      </c>
      <c r="F24" s="6">
        <v>45498</v>
      </c>
      <c r="Q24" s="66">
        <f t="shared" si="2"/>
        <v>20.454545454545453</v>
      </c>
      <c r="R24" s="30">
        <f t="shared" si="3"/>
        <v>2.7190332326283987E-2</v>
      </c>
    </row>
    <row r="25" spans="1:18" ht="15.75" x14ac:dyDescent="0.25">
      <c r="A25" s="8" t="s">
        <v>67</v>
      </c>
      <c r="B25" s="9">
        <v>45383</v>
      </c>
      <c r="C25" s="8" t="s">
        <v>49</v>
      </c>
      <c r="D25" s="22">
        <v>290</v>
      </c>
      <c r="E25" s="8" t="s">
        <v>74</v>
      </c>
      <c r="F25" s="9">
        <v>45498</v>
      </c>
      <c r="Q25" s="48">
        <f t="shared" si="2"/>
        <v>65.909090909090907</v>
      </c>
      <c r="R25" s="25">
        <f t="shared" si="3"/>
        <v>8.7613293051359523E-2</v>
      </c>
    </row>
    <row r="26" spans="1:18" ht="15.75" x14ac:dyDescent="0.25">
      <c r="A26" s="5" t="s">
        <v>67</v>
      </c>
      <c r="B26" s="6">
        <v>45419</v>
      </c>
      <c r="C26" s="5" t="s">
        <v>47</v>
      </c>
      <c r="D26" s="7">
        <v>110</v>
      </c>
      <c r="E26" s="5" t="s">
        <v>76</v>
      </c>
      <c r="F26" s="6">
        <v>45498</v>
      </c>
      <c r="Q26" s="66">
        <f t="shared" si="2"/>
        <v>25</v>
      </c>
      <c r="R26" s="30">
        <f t="shared" si="3"/>
        <v>3.3232628398791542E-2</v>
      </c>
    </row>
    <row r="27" spans="1:18" ht="15.75" x14ac:dyDescent="0.25">
      <c r="A27" s="8" t="s">
        <v>67</v>
      </c>
      <c r="B27" s="9">
        <v>45427</v>
      </c>
      <c r="C27" s="8" t="s">
        <v>47</v>
      </c>
      <c r="D27" s="22">
        <v>10</v>
      </c>
      <c r="E27" s="8" t="s">
        <v>76</v>
      </c>
      <c r="F27" s="9">
        <v>45498</v>
      </c>
      <c r="Q27" s="48">
        <f t="shared" si="2"/>
        <v>2.2727272727272725</v>
      </c>
      <c r="R27" s="25">
        <f t="shared" si="3"/>
        <v>3.0211480362537764E-3</v>
      </c>
    </row>
    <row r="28" spans="1:18" ht="15.75" x14ac:dyDescent="0.25">
      <c r="A28" s="5" t="s">
        <v>69</v>
      </c>
      <c r="B28" s="6">
        <v>45414</v>
      </c>
      <c r="C28" s="5" t="s">
        <v>45</v>
      </c>
      <c r="D28" s="7">
        <v>50</v>
      </c>
      <c r="E28" s="5" t="s">
        <v>76</v>
      </c>
      <c r="F28" s="6">
        <v>45544</v>
      </c>
      <c r="Q28" s="66">
        <f t="shared" si="2"/>
        <v>18.939393939393941</v>
      </c>
      <c r="R28" s="30">
        <f t="shared" si="3"/>
        <v>1.5105740181268883E-2</v>
      </c>
    </row>
    <row r="29" spans="1:18" ht="15.75" x14ac:dyDescent="0.25">
      <c r="A29" s="8" t="s">
        <v>69</v>
      </c>
      <c r="B29" s="9">
        <v>45544</v>
      </c>
      <c r="C29" s="8" t="s">
        <v>47</v>
      </c>
      <c r="D29" s="22">
        <v>30</v>
      </c>
      <c r="E29" s="8" t="s">
        <v>76</v>
      </c>
      <c r="F29" s="9">
        <v>45544</v>
      </c>
      <c r="Q29" s="48">
        <f t="shared" si="2"/>
        <v>11.363636363636363</v>
      </c>
      <c r="R29" s="25">
        <f t="shared" si="3"/>
        <v>9.0634441087613302E-3</v>
      </c>
    </row>
    <row r="30" spans="1:18" ht="15.75" x14ac:dyDescent="0.25">
      <c r="A30" s="5" t="s">
        <v>69</v>
      </c>
      <c r="B30" s="6">
        <v>45416</v>
      </c>
      <c r="C30" s="5" t="s">
        <v>45</v>
      </c>
      <c r="D30" s="7">
        <v>90</v>
      </c>
      <c r="E30" s="5" t="s">
        <v>75</v>
      </c>
      <c r="F30" s="6">
        <v>45544</v>
      </c>
      <c r="Q30" s="66">
        <f t="shared" si="2"/>
        <v>34.090909090909093</v>
      </c>
      <c r="R30" s="30">
        <f t="shared" si="3"/>
        <v>2.7190332326283987E-2</v>
      </c>
    </row>
    <row r="31" spans="1:18" ht="15.75" x14ac:dyDescent="0.25">
      <c r="A31" s="8" t="s">
        <v>69</v>
      </c>
      <c r="B31" s="9">
        <v>45475</v>
      </c>
      <c r="C31" s="8" t="s">
        <v>46</v>
      </c>
      <c r="D31" s="22">
        <v>130</v>
      </c>
      <c r="E31" s="8" t="s">
        <v>75</v>
      </c>
      <c r="F31" s="9">
        <v>45544</v>
      </c>
      <c r="Q31" s="48">
        <f t="shared" si="2"/>
        <v>49.242424242424235</v>
      </c>
      <c r="R31" s="25">
        <f t="shared" si="3"/>
        <v>3.9274924471299093E-2</v>
      </c>
    </row>
    <row r="32" spans="1:18" ht="15.75" x14ac:dyDescent="0.25">
      <c r="A32" s="5" t="s">
        <v>69</v>
      </c>
      <c r="B32" s="6">
        <v>45510</v>
      </c>
      <c r="C32" s="5" t="s">
        <v>48</v>
      </c>
      <c r="D32" s="7">
        <v>150</v>
      </c>
      <c r="E32" s="5" t="s">
        <v>75</v>
      </c>
      <c r="F32" s="6">
        <v>45544</v>
      </c>
      <c r="Q32" s="66">
        <f t="shared" si="2"/>
        <v>56.818181818181813</v>
      </c>
      <c r="R32" s="30">
        <f t="shared" si="3"/>
        <v>4.5317220543806644E-2</v>
      </c>
    </row>
    <row r="33" spans="1:18" ht="15.75" x14ac:dyDescent="0.25">
      <c r="A33" s="8" t="s">
        <v>78</v>
      </c>
      <c r="B33" s="9">
        <v>45475</v>
      </c>
      <c r="C33" s="8" t="s">
        <v>45</v>
      </c>
      <c r="D33" s="22">
        <v>200</v>
      </c>
      <c r="E33" s="8" t="s">
        <v>76</v>
      </c>
      <c r="F33" s="9">
        <v>45537</v>
      </c>
      <c r="Q33" s="48" t="str">
        <f t="shared" si="2"/>
        <v/>
      </c>
      <c r="R33" s="25">
        <f t="shared" si="3"/>
        <v>6.0422960725075532E-2</v>
      </c>
    </row>
    <row r="34" spans="1:18" ht="15.75" x14ac:dyDescent="0.25">
      <c r="A34" s="5" t="s">
        <v>78</v>
      </c>
      <c r="B34" s="6">
        <v>45537</v>
      </c>
      <c r="C34" s="5" t="s">
        <v>47</v>
      </c>
      <c r="D34" s="7">
        <v>110</v>
      </c>
      <c r="E34" s="5" t="s">
        <v>74</v>
      </c>
      <c r="F34" s="6">
        <v>45537</v>
      </c>
      <c r="Q34" s="66" t="str">
        <f t="shared" si="2"/>
        <v/>
      </c>
      <c r="R34" s="30">
        <f t="shared" si="3"/>
        <v>3.3232628398791542E-2</v>
      </c>
    </row>
    <row r="35" spans="1:18" ht="15.75" x14ac:dyDescent="0.25">
      <c r="A35" s="8" t="s">
        <v>78</v>
      </c>
      <c r="B35" s="9">
        <v>45366</v>
      </c>
      <c r="C35" s="8" t="s">
        <v>46</v>
      </c>
      <c r="D35" s="22">
        <v>70</v>
      </c>
      <c r="E35" s="8" t="s">
        <v>74</v>
      </c>
      <c r="F35" s="9">
        <v>45537</v>
      </c>
      <c r="Q35" s="48" t="str">
        <f t="shared" si="2"/>
        <v/>
      </c>
      <c r="R35" s="25">
        <f t="shared" si="3"/>
        <v>2.1148036253776436E-2</v>
      </c>
    </row>
    <row r="36" spans="1:18" ht="15.75" x14ac:dyDescent="0.25">
      <c r="A36" s="5" t="s">
        <v>78</v>
      </c>
      <c r="B36" s="6">
        <v>45473</v>
      </c>
      <c r="C36" s="5" t="s">
        <v>47</v>
      </c>
      <c r="D36" s="7">
        <v>90</v>
      </c>
      <c r="E36" s="5" t="s">
        <v>74</v>
      </c>
      <c r="F36" s="6">
        <v>45537</v>
      </c>
      <c r="Q36" s="66" t="str">
        <f t="shared" si="2"/>
        <v/>
      </c>
      <c r="R36" s="30">
        <f t="shared" si="3"/>
        <v>2.7190332326283987E-2</v>
      </c>
    </row>
    <row r="37" spans="1:18" ht="15.75" x14ac:dyDescent="0.25">
      <c r="A37" s="8" t="s">
        <v>78</v>
      </c>
      <c r="B37" s="9">
        <v>45496</v>
      </c>
      <c r="C37" s="8" t="s">
        <v>47</v>
      </c>
      <c r="D37" s="22">
        <v>20</v>
      </c>
      <c r="E37" s="8" t="s">
        <v>74</v>
      </c>
      <c r="F37" s="9">
        <v>45537</v>
      </c>
      <c r="Q37" s="48" t="str">
        <f t="shared" si="2"/>
        <v/>
      </c>
      <c r="R37" s="25">
        <f t="shared" si="3"/>
        <v>6.0422960725075529E-3</v>
      </c>
    </row>
    <row r="38" spans="1:18" ht="15.75" x14ac:dyDescent="0.25">
      <c r="A38" s="5"/>
      <c r="B38" s="6"/>
      <c r="C38" s="5"/>
      <c r="D38" s="7"/>
      <c r="E38" s="5"/>
      <c r="F38" s="6"/>
      <c r="Q38" s="66" t="str">
        <f t="shared" si="2"/>
        <v/>
      </c>
      <c r="R38" s="30" t="str">
        <f t="shared" si="3"/>
        <v/>
      </c>
    </row>
    <row r="39" spans="1:18" ht="15.75" x14ac:dyDescent="0.25">
      <c r="A39" s="8"/>
      <c r="B39" s="9"/>
      <c r="C39" s="8"/>
      <c r="D39" s="22"/>
      <c r="E39" s="8"/>
      <c r="F39" s="9"/>
      <c r="Q39" s="48" t="str">
        <f t="shared" si="2"/>
        <v/>
      </c>
      <c r="R39" s="25" t="str">
        <f t="shared" si="3"/>
        <v/>
      </c>
    </row>
    <row r="40" spans="1:18" ht="15.75" x14ac:dyDescent="0.25">
      <c r="A40" s="5"/>
      <c r="B40" s="6"/>
      <c r="C40" s="5"/>
      <c r="D40" s="7"/>
      <c r="E40" s="5"/>
      <c r="F40" s="6"/>
      <c r="Q40" s="66" t="str">
        <f t="shared" si="2"/>
        <v/>
      </c>
      <c r="R40" s="30" t="str">
        <f t="shared" si="3"/>
        <v/>
      </c>
    </row>
    <row r="41" spans="1:18" ht="15.75" x14ac:dyDescent="0.25">
      <c r="A41" s="8"/>
      <c r="B41" s="9"/>
      <c r="C41" s="8"/>
      <c r="D41" s="22"/>
      <c r="E41" s="8"/>
      <c r="F41" s="9"/>
      <c r="Q41" s="48" t="str">
        <f t="shared" si="2"/>
        <v/>
      </c>
      <c r="R41" s="25" t="str">
        <f t="shared" si="3"/>
        <v/>
      </c>
    </row>
    <row r="42" spans="1:18" ht="15.75" x14ac:dyDescent="0.25">
      <c r="A42" s="5"/>
      <c r="B42" s="6"/>
      <c r="C42" s="5"/>
      <c r="D42" s="7"/>
      <c r="E42" s="5"/>
      <c r="F42" s="6"/>
      <c r="Q42" s="66" t="str">
        <f t="shared" si="2"/>
        <v/>
      </c>
      <c r="R42" s="30" t="str">
        <f t="shared" si="3"/>
        <v/>
      </c>
    </row>
    <row r="43" spans="1:18" ht="15.75" x14ac:dyDescent="0.25">
      <c r="A43" s="8"/>
      <c r="B43" s="9"/>
      <c r="C43" s="8"/>
      <c r="D43" s="22"/>
      <c r="E43" s="8"/>
      <c r="F43" s="9"/>
      <c r="Q43" s="48" t="str">
        <f t="shared" si="2"/>
        <v/>
      </c>
      <c r="R43" s="25" t="str">
        <f t="shared" si="3"/>
        <v/>
      </c>
    </row>
    <row r="44" spans="1:18" ht="15.75" x14ac:dyDescent="0.25">
      <c r="A44" s="5"/>
      <c r="B44" s="6"/>
      <c r="C44" s="5"/>
      <c r="D44" s="7"/>
      <c r="E44" s="5"/>
      <c r="F44" s="6"/>
      <c r="Q44" s="66" t="str">
        <f t="shared" si="2"/>
        <v/>
      </c>
      <c r="R44" s="30" t="str">
        <f t="shared" si="3"/>
        <v/>
      </c>
    </row>
    <row r="45" spans="1:18" ht="15.75" x14ac:dyDescent="0.25">
      <c r="A45" s="8"/>
      <c r="B45" s="9"/>
      <c r="C45" s="8"/>
      <c r="D45" s="22"/>
      <c r="E45" s="8"/>
      <c r="F45" s="9"/>
      <c r="Q45" s="48" t="str">
        <f t="shared" si="2"/>
        <v/>
      </c>
      <c r="R45" s="25" t="str">
        <f t="shared" si="3"/>
        <v/>
      </c>
    </row>
    <row r="46" spans="1:18" ht="15.75" x14ac:dyDescent="0.25">
      <c r="A46" s="5"/>
      <c r="B46" s="6"/>
      <c r="C46" s="5"/>
      <c r="D46" s="7"/>
      <c r="E46" s="5"/>
      <c r="F46" s="6"/>
      <c r="Q46" s="66" t="str">
        <f t="shared" si="2"/>
        <v/>
      </c>
      <c r="R46" s="30" t="str">
        <f t="shared" si="3"/>
        <v/>
      </c>
    </row>
    <row r="47" spans="1:18" ht="15.75" x14ac:dyDescent="0.25">
      <c r="A47" s="8"/>
      <c r="B47" s="9"/>
      <c r="C47" s="8"/>
      <c r="D47" s="22"/>
      <c r="E47" s="8"/>
      <c r="F47" s="9"/>
      <c r="Q47" s="48" t="str">
        <f t="shared" si="2"/>
        <v/>
      </c>
      <c r="R47" s="25" t="str">
        <f t="shared" si="3"/>
        <v/>
      </c>
    </row>
    <row r="48" spans="1:18" ht="15.75" x14ac:dyDescent="0.25">
      <c r="A48" s="5"/>
      <c r="B48" s="6"/>
      <c r="C48" s="5"/>
      <c r="D48" s="7"/>
      <c r="E48" s="5"/>
      <c r="F48" s="6"/>
      <c r="Q48" s="66" t="str">
        <f t="shared" si="2"/>
        <v/>
      </c>
      <c r="R48" s="30" t="str">
        <f t="shared" si="3"/>
        <v/>
      </c>
    </row>
    <row r="49" spans="1:18" ht="15.75" x14ac:dyDescent="0.25">
      <c r="A49" s="8"/>
      <c r="B49" s="9"/>
      <c r="C49" s="8"/>
      <c r="D49" s="22"/>
      <c r="E49" s="8"/>
      <c r="F49" s="9"/>
      <c r="Q49" s="48" t="str">
        <f t="shared" si="2"/>
        <v/>
      </c>
      <c r="R49" s="25" t="str">
        <f t="shared" si="3"/>
        <v/>
      </c>
    </row>
    <row r="50" spans="1:18" ht="15.75" x14ac:dyDescent="0.25">
      <c r="A50" s="5"/>
      <c r="B50" s="6"/>
      <c r="C50" s="5"/>
      <c r="D50" s="7"/>
      <c r="E50" s="5"/>
      <c r="F50" s="6"/>
      <c r="Q50" s="66" t="str">
        <f t="shared" si="2"/>
        <v/>
      </c>
      <c r="R50" s="30" t="str">
        <f t="shared" si="3"/>
        <v/>
      </c>
    </row>
    <row r="51" spans="1:18" ht="15.75" x14ac:dyDescent="0.25">
      <c r="A51" s="8"/>
      <c r="B51" s="9"/>
      <c r="C51" s="8"/>
      <c r="D51" s="22"/>
      <c r="E51" s="8"/>
      <c r="F51" s="9"/>
      <c r="Q51" s="48" t="str">
        <f t="shared" si="2"/>
        <v/>
      </c>
      <c r="R51" s="25" t="str">
        <f t="shared" si="3"/>
        <v/>
      </c>
    </row>
    <row r="52" spans="1:18" ht="15.75" x14ac:dyDescent="0.25">
      <c r="A52" s="5"/>
      <c r="B52" s="6"/>
      <c r="C52" s="5"/>
      <c r="D52" s="7"/>
      <c r="E52" s="5"/>
      <c r="F52" s="6"/>
      <c r="Q52" s="66" t="str">
        <f t="shared" si="2"/>
        <v/>
      </c>
      <c r="R52" s="30" t="str">
        <f t="shared" si="3"/>
        <v/>
      </c>
    </row>
    <row r="53" spans="1:18" ht="15.75" x14ac:dyDescent="0.25">
      <c r="A53" s="8"/>
      <c r="B53" s="9"/>
      <c r="C53" s="8"/>
      <c r="D53" s="22"/>
      <c r="E53" s="8"/>
      <c r="F53" s="9"/>
      <c r="Q53" s="48" t="str">
        <f t="shared" si="2"/>
        <v/>
      </c>
      <c r="R53" s="25" t="str">
        <f t="shared" si="3"/>
        <v/>
      </c>
    </row>
    <row r="54" spans="1:18" ht="15.75" x14ac:dyDescent="0.25">
      <c r="A54" s="5"/>
      <c r="B54" s="6"/>
      <c r="C54" s="5"/>
      <c r="D54" s="7"/>
      <c r="E54" s="5"/>
      <c r="F54" s="6"/>
      <c r="Q54" s="66" t="str">
        <f t="shared" si="2"/>
        <v/>
      </c>
      <c r="R54" s="30" t="str">
        <f t="shared" si="3"/>
        <v/>
      </c>
    </row>
    <row r="55" spans="1:18" ht="15.75" x14ac:dyDescent="0.25">
      <c r="A55" s="8"/>
      <c r="B55" s="9"/>
      <c r="C55" s="8"/>
      <c r="D55" s="22"/>
      <c r="E55" s="8"/>
      <c r="F55" s="9"/>
      <c r="Q55" s="48" t="str">
        <f t="shared" si="2"/>
        <v/>
      </c>
      <c r="R55" s="25" t="str">
        <f t="shared" si="3"/>
        <v/>
      </c>
    </row>
    <row r="56" spans="1:18" ht="15.75" x14ac:dyDescent="0.25">
      <c r="A56" s="5"/>
      <c r="B56" s="6"/>
      <c r="C56" s="5"/>
      <c r="D56" s="7"/>
      <c r="E56" s="5"/>
      <c r="F56" s="6"/>
      <c r="Q56" s="66" t="str">
        <f t="shared" si="2"/>
        <v/>
      </c>
      <c r="R56" s="30" t="str">
        <f t="shared" si="3"/>
        <v/>
      </c>
    </row>
    <row r="57" spans="1:18" ht="15.75" x14ac:dyDescent="0.25">
      <c r="A57" s="8"/>
      <c r="B57" s="9"/>
      <c r="C57" s="8"/>
      <c r="D57" s="22"/>
      <c r="E57" s="8"/>
      <c r="F57" s="9"/>
      <c r="Q57" s="48" t="str">
        <f t="shared" si="2"/>
        <v/>
      </c>
      <c r="R57" s="25" t="str">
        <f t="shared" si="3"/>
        <v/>
      </c>
    </row>
    <row r="58" spans="1:18" ht="15.75" x14ac:dyDescent="0.25">
      <c r="A58" s="5"/>
      <c r="B58" s="6"/>
      <c r="C58" s="5"/>
      <c r="D58" s="7"/>
      <c r="E58" s="5"/>
      <c r="F58" s="6"/>
      <c r="Q58" s="66" t="str">
        <f t="shared" si="2"/>
        <v/>
      </c>
      <c r="R58" s="30" t="str">
        <f t="shared" si="3"/>
        <v/>
      </c>
    </row>
    <row r="59" spans="1:18" ht="15.75" x14ac:dyDescent="0.25">
      <c r="A59" s="8"/>
      <c r="B59" s="9"/>
      <c r="C59" s="8"/>
      <c r="D59" s="22"/>
      <c r="E59" s="8"/>
      <c r="F59" s="9"/>
      <c r="Q59" s="48" t="str">
        <f t="shared" si="2"/>
        <v/>
      </c>
      <c r="R59" s="25" t="str">
        <f t="shared" si="3"/>
        <v/>
      </c>
    </row>
    <row r="60" spans="1:18" ht="15.75" x14ac:dyDescent="0.25">
      <c r="A60" s="5"/>
      <c r="B60" s="6"/>
      <c r="C60" s="5"/>
      <c r="D60" s="7"/>
      <c r="E60" s="5"/>
      <c r="F60" s="6"/>
      <c r="Q60" s="66" t="str">
        <f t="shared" si="2"/>
        <v/>
      </c>
      <c r="R60" s="30" t="str">
        <f t="shared" si="3"/>
        <v/>
      </c>
    </row>
    <row r="61" spans="1:18" ht="15.75" x14ac:dyDescent="0.25">
      <c r="A61" s="8"/>
      <c r="B61" s="9"/>
      <c r="C61" s="8"/>
      <c r="D61" s="22"/>
      <c r="E61" s="8"/>
      <c r="F61" s="9"/>
      <c r="Q61" s="48" t="str">
        <f t="shared" si="2"/>
        <v/>
      </c>
      <c r="R61" s="25" t="str">
        <f t="shared" si="3"/>
        <v/>
      </c>
    </row>
    <row r="62" spans="1:18" ht="15.75" x14ac:dyDescent="0.25">
      <c r="A62" s="5"/>
      <c r="B62" s="6"/>
      <c r="C62" s="5"/>
      <c r="D62" s="7"/>
      <c r="E62" s="5"/>
      <c r="F62" s="6"/>
      <c r="Q62" s="66" t="str">
        <f t="shared" si="2"/>
        <v/>
      </c>
      <c r="R62" s="30" t="str">
        <f t="shared" si="3"/>
        <v/>
      </c>
    </row>
    <row r="63" spans="1:18" ht="15.75" x14ac:dyDescent="0.25">
      <c r="A63" s="8"/>
      <c r="B63" s="9"/>
      <c r="C63" s="8"/>
      <c r="D63" s="22"/>
      <c r="E63" s="8"/>
      <c r="F63" s="9"/>
      <c r="Q63" s="48" t="str">
        <f t="shared" si="2"/>
        <v/>
      </c>
      <c r="R63" s="25" t="str">
        <f t="shared" si="3"/>
        <v/>
      </c>
    </row>
    <row r="64" spans="1:18" ht="15.75" x14ac:dyDescent="0.25">
      <c r="A64" s="5"/>
      <c r="B64" s="6"/>
      <c r="C64" s="5"/>
      <c r="D64" s="7"/>
      <c r="E64" s="5"/>
      <c r="F64" s="6"/>
      <c r="Q64" s="66" t="str">
        <f t="shared" si="2"/>
        <v/>
      </c>
      <c r="R64" s="30" t="str">
        <f t="shared" si="3"/>
        <v/>
      </c>
    </row>
    <row r="65" spans="1:18" ht="15.75" x14ac:dyDescent="0.25">
      <c r="A65" s="8"/>
      <c r="B65" s="9"/>
      <c r="C65" s="8"/>
      <c r="D65" s="22"/>
      <c r="E65" s="8"/>
      <c r="F65" s="9"/>
      <c r="Q65" s="48" t="str">
        <f t="shared" si="2"/>
        <v/>
      </c>
      <c r="R65" s="25" t="str">
        <f t="shared" si="3"/>
        <v/>
      </c>
    </row>
    <row r="66" spans="1:18" ht="15.75" x14ac:dyDescent="0.25">
      <c r="A66" s="5"/>
      <c r="B66" s="6"/>
      <c r="C66" s="5"/>
      <c r="D66" s="7"/>
      <c r="E66" s="5"/>
      <c r="F66" s="6"/>
      <c r="Q66" s="66" t="str">
        <f t="shared" si="2"/>
        <v/>
      </c>
      <c r="R66" s="30" t="str">
        <f t="shared" si="3"/>
        <v/>
      </c>
    </row>
    <row r="67" spans="1:18" ht="15.75" x14ac:dyDescent="0.25">
      <c r="A67" s="8"/>
      <c r="B67" s="9"/>
      <c r="C67" s="8"/>
      <c r="D67" s="22"/>
      <c r="E67" s="8"/>
      <c r="F67" s="9"/>
      <c r="Q67" s="48" t="str">
        <f t="shared" ref="Q67:Q130" si="5">IF(A67=$K$2,D67/60*$N$2,IF(A67=$K$3,D67/60*$N$3,IF(A67=$K$4,D67/60*$N$4,IF(A67=$K$5,D67/60*$N$5,IF(A67=$K$6,D67/60*$N$6,IF(A67=$K$7,D67/60*$N$7,IF(A67=$K$8,D67/60*$N$8,"")))))))</f>
        <v/>
      </c>
      <c r="R67" s="25" t="str">
        <f t="shared" ref="R67:R130" si="6">IF(D67="","",D67/$S$2)</f>
        <v/>
      </c>
    </row>
    <row r="68" spans="1:18" ht="15.75" x14ac:dyDescent="0.25">
      <c r="A68" s="5"/>
      <c r="B68" s="6"/>
      <c r="C68" s="5"/>
      <c r="D68" s="7"/>
      <c r="E68" s="5"/>
      <c r="F68" s="6"/>
      <c r="Q68" s="66" t="str">
        <f t="shared" si="5"/>
        <v/>
      </c>
      <c r="R68" s="30" t="str">
        <f t="shared" si="6"/>
        <v/>
      </c>
    </row>
    <row r="69" spans="1:18" ht="15.75" x14ac:dyDescent="0.25">
      <c r="A69" s="8"/>
      <c r="B69" s="9"/>
      <c r="C69" s="8"/>
      <c r="D69" s="22"/>
      <c r="E69" s="8"/>
      <c r="F69" s="9"/>
      <c r="Q69" s="48" t="str">
        <f t="shared" si="5"/>
        <v/>
      </c>
      <c r="R69" s="25" t="str">
        <f t="shared" si="6"/>
        <v/>
      </c>
    </row>
    <row r="70" spans="1:18" ht="15.75" x14ac:dyDescent="0.25">
      <c r="A70" s="5"/>
      <c r="B70" s="6"/>
      <c r="C70" s="5"/>
      <c r="D70" s="7"/>
      <c r="E70" s="5"/>
      <c r="F70" s="6"/>
      <c r="Q70" s="66" t="str">
        <f t="shared" si="5"/>
        <v/>
      </c>
      <c r="R70" s="30" t="str">
        <f t="shared" si="6"/>
        <v/>
      </c>
    </row>
    <row r="71" spans="1:18" ht="15.75" x14ac:dyDescent="0.25">
      <c r="A71" s="8"/>
      <c r="B71" s="9"/>
      <c r="C71" s="8"/>
      <c r="D71" s="22"/>
      <c r="E71" s="8"/>
      <c r="F71" s="9"/>
      <c r="Q71" s="48" t="str">
        <f t="shared" si="5"/>
        <v/>
      </c>
      <c r="R71" s="25" t="str">
        <f t="shared" si="6"/>
        <v/>
      </c>
    </row>
    <row r="72" spans="1:18" ht="15.75" x14ac:dyDescent="0.25">
      <c r="A72" s="5"/>
      <c r="B72" s="6"/>
      <c r="C72" s="5"/>
      <c r="D72" s="7"/>
      <c r="E72" s="5"/>
      <c r="F72" s="6"/>
      <c r="Q72" s="66" t="str">
        <f t="shared" si="5"/>
        <v/>
      </c>
      <c r="R72" s="30" t="str">
        <f t="shared" si="6"/>
        <v/>
      </c>
    </row>
    <row r="73" spans="1:18" ht="15.75" x14ac:dyDescent="0.25">
      <c r="A73" s="8"/>
      <c r="B73" s="9"/>
      <c r="C73" s="8"/>
      <c r="D73" s="22"/>
      <c r="E73" s="8"/>
      <c r="F73" s="9"/>
      <c r="Q73" s="48" t="str">
        <f t="shared" si="5"/>
        <v/>
      </c>
      <c r="R73" s="25" t="str">
        <f t="shared" si="6"/>
        <v/>
      </c>
    </row>
    <row r="74" spans="1:18" ht="15.75" x14ac:dyDescent="0.25">
      <c r="A74" s="5"/>
      <c r="B74" s="6"/>
      <c r="C74" s="5"/>
      <c r="D74" s="7"/>
      <c r="E74" s="5"/>
      <c r="F74" s="6"/>
      <c r="Q74" s="66" t="str">
        <f t="shared" si="5"/>
        <v/>
      </c>
      <c r="R74" s="30" t="str">
        <f t="shared" si="6"/>
        <v/>
      </c>
    </row>
    <row r="75" spans="1:18" ht="15.75" x14ac:dyDescent="0.25">
      <c r="A75" s="8"/>
      <c r="B75" s="9"/>
      <c r="C75" s="8"/>
      <c r="D75" s="22"/>
      <c r="E75" s="8"/>
      <c r="F75" s="9"/>
      <c r="Q75" s="48" t="str">
        <f t="shared" si="5"/>
        <v/>
      </c>
      <c r="R75" s="25" t="str">
        <f t="shared" si="6"/>
        <v/>
      </c>
    </row>
    <row r="76" spans="1:18" ht="15.75" x14ac:dyDescent="0.25">
      <c r="A76" s="5"/>
      <c r="B76" s="6"/>
      <c r="C76" s="5"/>
      <c r="D76" s="7"/>
      <c r="E76" s="5"/>
      <c r="F76" s="6"/>
      <c r="Q76" s="66" t="str">
        <f t="shared" si="5"/>
        <v/>
      </c>
      <c r="R76" s="30" t="str">
        <f t="shared" si="6"/>
        <v/>
      </c>
    </row>
    <row r="77" spans="1:18" ht="15.75" x14ac:dyDescent="0.25">
      <c r="A77" s="8"/>
      <c r="B77" s="9"/>
      <c r="C77" s="8"/>
      <c r="D77" s="22"/>
      <c r="E77" s="8"/>
      <c r="F77" s="9"/>
      <c r="Q77" s="48" t="str">
        <f t="shared" si="5"/>
        <v/>
      </c>
      <c r="R77" s="25" t="str">
        <f t="shared" si="6"/>
        <v/>
      </c>
    </row>
    <row r="78" spans="1:18" ht="15.75" x14ac:dyDescent="0.25">
      <c r="A78" s="5"/>
      <c r="B78" s="6"/>
      <c r="C78" s="5"/>
      <c r="D78" s="7"/>
      <c r="E78" s="5"/>
      <c r="F78" s="6"/>
      <c r="Q78" s="66" t="str">
        <f t="shared" si="5"/>
        <v/>
      </c>
      <c r="R78" s="30" t="str">
        <f t="shared" si="6"/>
        <v/>
      </c>
    </row>
    <row r="79" spans="1:18" ht="15.75" x14ac:dyDescent="0.25">
      <c r="A79" s="8"/>
      <c r="B79" s="9"/>
      <c r="C79" s="8"/>
      <c r="D79" s="22"/>
      <c r="E79" s="8"/>
      <c r="F79" s="9"/>
      <c r="Q79" s="48" t="str">
        <f t="shared" si="5"/>
        <v/>
      </c>
      <c r="R79" s="25" t="str">
        <f t="shared" si="6"/>
        <v/>
      </c>
    </row>
    <row r="80" spans="1:18" ht="15.75" x14ac:dyDescent="0.25">
      <c r="A80" s="5"/>
      <c r="B80" s="6"/>
      <c r="C80" s="5"/>
      <c r="D80" s="7"/>
      <c r="E80" s="5"/>
      <c r="F80" s="6"/>
      <c r="Q80" s="66" t="str">
        <f t="shared" si="5"/>
        <v/>
      </c>
      <c r="R80" s="30" t="str">
        <f t="shared" si="6"/>
        <v/>
      </c>
    </row>
    <row r="81" spans="1:18" ht="15.75" x14ac:dyDescent="0.25">
      <c r="A81" s="8"/>
      <c r="B81" s="9"/>
      <c r="C81" s="8"/>
      <c r="D81" s="22"/>
      <c r="E81" s="8"/>
      <c r="F81" s="9"/>
      <c r="Q81" s="48" t="str">
        <f t="shared" si="5"/>
        <v/>
      </c>
      <c r="R81" s="25" t="str">
        <f t="shared" si="6"/>
        <v/>
      </c>
    </row>
    <row r="82" spans="1:18" ht="15.75" x14ac:dyDescent="0.25">
      <c r="A82" s="5"/>
      <c r="B82" s="6"/>
      <c r="C82" s="5"/>
      <c r="D82" s="7"/>
      <c r="E82" s="5"/>
      <c r="F82" s="6"/>
      <c r="Q82" s="66" t="str">
        <f t="shared" si="5"/>
        <v/>
      </c>
      <c r="R82" s="30" t="str">
        <f t="shared" si="6"/>
        <v/>
      </c>
    </row>
    <row r="83" spans="1:18" ht="15.75" x14ac:dyDescent="0.25">
      <c r="A83" s="8"/>
      <c r="B83" s="9"/>
      <c r="C83" s="8"/>
      <c r="D83" s="22"/>
      <c r="E83" s="8"/>
      <c r="F83" s="9"/>
      <c r="Q83" s="48" t="str">
        <f t="shared" si="5"/>
        <v/>
      </c>
      <c r="R83" s="25" t="str">
        <f t="shared" si="6"/>
        <v/>
      </c>
    </row>
    <row r="84" spans="1:18" ht="15.75" x14ac:dyDescent="0.25">
      <c r="A84" s="5"/>
      <c r="B84" s="6"/>
      <c r="C84" s="5"/>
      <c r="D84" s="7"/>
      <c r="E84" s="5"/>
      <c r="F84" s="6"/>
      <c r="Q84" s="66" t="str">
        <f t="shared" si="5"/>
        <v/>
      </c>
      <c r="R84" s="30" t="str">
        <f t="shared" si="6"/>
        <v/>
      </c>
    </row>
    <row r="85" spans="1:18" ht="15.75" x14ac:dyDescent="0.25">
      <c r="A85" s="8"/>
      <c r="B85" s="9"/>
      <c r="C85" s="8"/>
      <c r="D85" s="22"/>
      <c r="E85" s="8"/>
      <c r="F85" s="9"/>
      <c r="Q85" s="48" t="str">
        <f t="shared" si="5"/>
        <v/>
      </c>
      <c r="R85" s="25" t="str">
        <f t="shared" si="6"/>
        <v/>
      </c>
    </row>
    <row r="86" spans="1:18" ht="15.75" x14ac:dyDescent="0.25">
      <c r="A86" s="5"/>
      <c r="B86" s="6"/>
      <c r="C86" s="5"/>
      <c r="D86" s="7"/>
      <c r="E86" s="5"/>
      <c r="F86" s="6"/>
      <c r="Q86" s="66" t="str">
        <f t="shared" si="5"/>
        <v/>
      </c>
      <c r="R86" s="30" t="str">
        <f t="shared" si="6"/>
        <v/>
      </c>
    </row>
    <row r="87" spans="1:18" ht="15.75" x14ac:dyDescent="0.25">
      <c r="A87" s="8"/>
      <c r="B87" s="9"/>
      <c r="C87" s="8"/>
      <c r="D87" s="22"/>
      <c r="E87" s="8"/>
      <c r="F87" s="9"/>
      <c r="Q87" s="48" t="str">
        <f t="shared" si="5"/>
        <v/>
      </c>
      <c r="R87" s="25" t="str">
        <f t="shared" si="6"/>
        <v/>
      </c>
    </row>
    <row r="88" spans="1:18" ht="15.75" x14ac:dyDescent="0.25">
      <c r="A88" s="5"/>
      <c r="B88" s="6"/>
      <c r="C88" s="5"/>
      <c r="D88" s="7"/>
      <c r="E88" s="5"/>
      <c r="F88" s="6"/>
      <c r="Q88" s="66" t="str">
        <f t="shared" si="5"/>
        <v/>
      </c>
      <c r="R88" s="30" t="str">
        <f t="shared" si="6"/>
        <v/>
      </c>
    </row>
    <row r="89" spans="1:18" ht="15.75" x14ac:dyDescent="0.25">
      <c r="A89" s="8"/>
      <c r="B89" s="9"/>
      <c r="C89" s="8"/>
      <c r="D89" s="22"/>
      <c r="E89" s="8"/>
      <c r="F89" s="9"/>
      <c r="Q89" s="48" t="str">
        <f t="shared" si="5"/>
        <v/>
      </c>
      <c r="R89" s="25" t="str">
        <f t="shared" si="6"/>
        <v/>
      </c>
    </row>
    <row r="90" spans="1:18" ht="15.75" x14ac:dyDescent="0.25">
      <c r="A90" s="5"/>
      <c r="B90" s="6"/>
      <c r="C90" s="5"/>
      <c r="D90" s="7"/>
      <c r="E90" s="5"/>
      <c r="F90" s="6"/>
      <c r="Q90" s="66" t="str">
        <f t="shared" si="5"/>
        <v/>
      </c>
      <c r="R90" s="30" t="str">
        <f t="shared" si="6"/>
        <v/>
      </c>
    </row>
    <row r="91" spans="1:18" ht="15.75" x14ac:dyDescent="0.25">
      <c r="A91" s="8"/>
      <c r="B91" s="9"/>
      <c r="C91" s="8"/>
      <c r="D91" s="22"/>
      <c r="E91" s="8"/>
      <c r="F91" s="9"/>
      <c r="Q91" s="48" t="str">
        <f t="shared" si="5"/>
        <v/>
      </c>
      <c r="R91" s="25" t="str">
        <f t="shared" si="6"/>
        <v/>
      </c>
    </row>
    <row r="92" spans="1:18" ht="15.75" x14ac:dyDescent="0.25">
      <c r="A92" s="5"/>
      <c r="B92" s="6"/>
      <c r="C92" s="5"/>
      <c r="D92" s="7"/>
      <c r="E92" s="5"/>
      <c r="F92" s="6"/>
      <c r="Q92" s="66" t="str">
        <f t="shared" si="5"/>
        <v/>
      </c>
      <c r="R92" s="30" t="str">
        <f t="shared" si="6"/>
        <v/>
      </c>
    </row>
    <row r="93" spans="1:18" ht="15.75" x14ac:dyDescent="0.25">
      <c r="A93" s="8"/>
      <c r="B93" s="9"/>
      <c r="C93" s="8"/>
      <c r="D93" s="22"/>
      <c r="E93" s="8"/>
      <c r="F93" s="9"/>
      <c r="Q93" s="48" t="str">
        <f t="shared" si="5"/>
        <v/>
      </c>
      <c r="R93" s="25" t="str">
        <f t="shared" si="6"/>
        <v/>
      </c>
    </row>
    <row r="94" spans="1:18" ht="15.75" x14ac:dyDescent="0.25">
      <c r="A94" s="5"/>
      <c r="B94" s="6"/>
      <c r="C94" s="5"/>
      <c r="D94" s="7"/>
      <c r="E94" s="5"/>
      <c r="F94" s="6"/>
      <c r="Q94" s="66" t="str">
        <f t="shared" si="5"/>
        <v/>
      </c>
      <c r="R94" s="30" t="str">
        <f t="shared" si="6"/>
        <v/>
      </c>
    </row>
    <row r="95" spans="1:18" ht="15.75" x14ac:dyDescent="0.25">
      <c r="A95" s="8"/>
      <c r="B95" s="9"/>
      <c r="C95" s="8"/>
      <c r="D95" s="22"/>
      <c r="E95" s="8"/>
      <c r="F95" s="9"/>
      <c r="Q95" s="48" t="str">
        <f t="shared" si="5"/>
        <v/>
      </c>
      <c r="R95" s="25" t="str">
        <f t="shared" si="6"/>
        <v/>
      </c>
    </row>
    <row r="96" spans="1:18" ht="15.75" x14ac:dyDescent="0.25">
      <c r="A96" s="5"/>
      <c r="B96" s="6"/>
      <c r="C96" s="5"/>
      <c r="D96" s="7"/>
      <c r="E96" s="5"/>
      <c r="F96" s="6"/>
      <c r="Q96" s="66" t="str">
        <f t="shared" si="5"/>
        <v/>
      </c>
      <c r="R96" s="30" t="str">
        <f t="shared" si="6"/>
        <v/>
      </c>
    </row>
    <row r="97" spans="1:18" ht="15.75" x14ac:dyDescent="0.25">
      <c r="A97" s="8"/>
      <c r="B97" s="9"/>
      <c r="C97" s="8"/>
      <c r="D97" s="22"/>
      <c r="E97" s="8"/>
      <c r="F97" s="9"/>
      <c r="Q97" s="48" t="str">
        <f t="shared" si="5"/>
        <v/>
      </c>
      <c r="R97" s="25" t="str">
        <f t="shared" si="6"/>
        <v/>
      </c>
    </row>
    <row r="98" spans="1:18" ht="15.75" x14ac:dyDescent="0.25">
      <c r="A98" s="5"/>
      <c r="B98" s="6"/>
      <c r="C98" s="5"/>
      <c r="D98" s="7"/>
      <c r="E98" s="5"/>
      <c r="F98" s="6"/>
      <c r="Q98" s="66" t="str">
        <f t="shared" si="5"/>
        <v/>
      </c>
      <c r="R98" s="30" t="str">
        <f t="shared" si="6"/>
        <v/>
      </c>
    </row>
    <row r="99" spans="1:18" ht="15.75" x14ac:dyDescent="0.25">
      <c r="A99" s="8"/>
      <c r="B99" s="9"/>
      <c r="C99" s="8"/>
      <c r="D99" s="22"/>
      <c r="E99" s="8"/>
      <c r="F99" s="9"/>
      <c r="Q99" s="48" t="str">
        <f t="shared" si="5"/>
        <v/>
      </c>
      <c r="R99" s="25" t="str">
        <f t="shared" si="6"/>
        <v/>
      </c>
    </row>
    <row r="100" spans="1:18" ht="15.75" x14ac:dyDescent="0.25">
      <c r="A100" s="5"/>
      <c r="B100" s="6"/>
      <c r="C100" s="5"/>
      <c r="D100" s="7"/>
      <c r="E100" s="5"/>
      <c r="F100" s="6"/>
      <c r="Q100" s="66" t="str">
        <f t="shared" si="5"/>
        <v/>
      </c>
      <c r="R100" s="30" t="str">
        <f t="shared" si="6"/>
        <v/>
      </c>
    </row>
    <row r="101" spans="1:18" ht="15.75" x14ac:dyDescent="0.25">
      <c r="A101" s="8"/>
      <c r="B101" s="9"/>
      <c r="C101" s="8"/>
      <c r="D101" s="22"/>
      <c r="E101" s="8"/>
      <c r="F101" s="9"/>
      <c r="Q101" s="48" t="str">
        <f t="shared" si="5"/>
        <v/>
      </c>
      <c r="R101" s="25" t="str">
        <f t="shared" si="6"/>
        <v/>
      </c>
    </row>
    <row r="102" spans="1:18" ht="15.75" x14ac:dyDescent="0.25">
      <c r="A102" s="5"/>
      <c r="B102" s="6"/>
      <c r="C102" s="5"/>
      <c r="D102" s="7"/>
      <c r="E102" s="5"/>
      <c r="F102" s="6"/>
      <c r="Q102" s="66" t="str">
        <f t="shared" si="5"/>
        <v/>
      </c>
      <c r="R102" s="30" t="str">
        <f t="shared" si="6"/>
        <v/>
      </c>
    </row>
    <row r="103" spans="1:18" ht="15.75" x14ac:dyDescent="0.25">
      <c r="A103" s="8"/>
      <c r="B103" s="9"/>
      <c r="C103" s="8"/>
      <c r="D103" s="22"/>
      <c r="E103" s="8"/>
      <c r="F103" s="9"/>
      <c r="Q103" s="48" t="str">
        <f t="shared" si="5"/>
        <v/>
      </c>
      <c r="R103" s="25" t="str">
        <f t="shared" si="6"/>
        <v/>
      </c>
    </row>
    <row r="104" spans="1:18" ht="15.75" x14ac:dyDescent="0.25">
      <c r="A104" s="5"/>
      <c r="B104" s="6"/>
      <c r="C104" s="5"/>
      <c r="D104" s="7"/>
      <c r="E104" s="5"/>
      <c r="F104" s="6"/>
      <c r="Q104" s="66" t="str">
        <f t="shared" si="5"/>
        <v/>
      </c>
      <c r="R104" s="30" t="str">
        <f t="shared" si="6"/>
        <v/>
      </c>
    </row>
    <row r="105" spans="1:18" ht="15.75" x14ac:dyDescent="0.25">
      <c r="A105" s="8"/>
      <c r="B105" s="9"/>
      <c r="C105" s="8"/>
      <c r="D105" s="22"/>
      <c r="E105" s="8"/>
      <c r="F105" s="9"/>
      <c r="Q105" s="48" t="str">
        <f t="shared" si="5"/>
        <v/>
      </c>
      <c r="R105" s="25" t="str">
        <f t="shared" si="6"/>
        <v/>
      </c>
    </row>
    <row r="106" spans="1:18" ht="15.75" x14ac:dyDescent="0.25">
      <c r="A106" s="5"/>
      <c r="B106" s="6"/>
      <c r="C106" s="5"/>
      <c r="D106" s="7"/>
      <c r="E106" s="5"/>
      <c r="F106" s="6"/>
      <c r="Q106" s="66" t="str">
        <f t="shared" si="5"/>
        <v/>
      </c>
      <c r="R106" s="30" t="str">
        <f t="shared" si="6"/>
        <v/>
      </c>
    </row>
    <row r="107" spans="1:18" ht="15.75" x14ac:dyDescent="0.25">
      <c r="A107" s="8"/>
      <c r="B107" s="9"/>
      <c r="C107" s="8"/>
      <c r="D107" s="22"/>
      <c r="E107" s="8"/>
      <c r="F107" s="9"/>
      <c r="Q107" s="48" t="str">
        <f t="shared" si="5"/>
        <v/>
      </c>
      <c r="R107" s="25" t="str">
        <f t="shared" si="6"/>
        <v/>
      </c>
    </row>
    <row r="108" spans="1:18" ht="15.75" x14ac:dyDescent="0.25">
      <c r="A108" s="5"/>
      <c r="B108" s="6"/>
      <c r="C108" s="5"/>
      <c r="D108" s="7"/>
      <c r="E108" s="5"/>
      <c r="F108" s="6"/>
      <c r="Q108" s="66" t="str">
        <f t="shared" si="5"/>
        <v/>
      </c>
      <c r="R108" s="30" t="str">
        <f t="shared" si="6"/>
        <v/>
      </c>
    </row>
    <row r="109" spans="1:18" ht="15.75" x14ac:dyDescent="0.25">
      <c r="A109" s="8"/>
      <c r="B109" s="9"/>
      <c r="C109" s="8"/>
      <c r="D109" s="22"/>
      <c r="E109" s="8"/>
      <c r="F109" s="9"/>
      <c r="Q109" s="48" t="str">
        <f t="shared" si="5"/>
        <v/>
      </c>
      <c r="R109" s="25" t="str">
        <f t="shared" si="6"/>
        <v/>
      </c>
    </row>
    <row r="110" spans="1:18" ht="15.75" x14ac:dyDescent="0.25">
      <c r="A110" s="5"/>
      <c r="B110" s="6"/>
      <c r="C110" s="5"/>
      <c r="D110" s="7"/>
      <c r="E110" s="5"/>
      <c r="F110" s="6"/>
      <c r="Q110" s="66" t="str">
        <f t="shared" si="5"/>
        <v/>
      </c>
      <c r="R110" s="30" t="str">
        <f t="shared" si="6"/>
        <v/>
      </c>
    </row>
    <row r="111" spans="1:18" ht="15.75" x14ac:dyDescent="0.25">
      <c r="A111" s="8"/>
      <c r="B111" s="9"/>
      <c r="C111" s="8"/>
      <c r="D111" s="22"/>
      <c r="E111" s="8"/>
      <c r="F111" s="9"/>
      <c r="Q111" s="48" t="str">
        <f t="shared" si="5"/>
        <v/>
      </c>
      <c r="R111" s="25" t="str">
        <f t="shared" si="6"/>
        <v/>
      </c>
    </row>
    <row r="112" spans="1:18" ht="15.75" x14ac:dyDescent="0.25">
      <c r="A112" s="5"/>
      <c r="B112" s="6"/>
      <c r="C112" s="5"/>
      <c r="D112" s="7"/>
      <c r="E112" s="5"/>
      <c r="F112" s="6"/>
      <c r="Q112" s="66" t="str">
        <f t="shared" si="5"/>
        <v/>
      </c>
      <c r="R112" s="30" t="str">
        <f t="shared" si="6"/>
        <v/>
      </c>
    </row>
    <row r="113" spans="1:18" ht="15.75" x14ac:dyDescent="0.25">
      <c r="A113" s="8"/>
      <c r="B113" s="9"/>
      <c r="C113" s="8"/>
      <c r="D113" s="22"/>
      <c r="E113" s="8"/>
      <c r="F113" s="9"/>
      <c r="Q113" s="48" t="str">
        <f t="shared" si="5"/>
        <v/>
      </c>
      <c r="R113" s="25" t="str">
        <f t="shared" si="6"/>
        <v/>
      </c>
    </row>
    <row r="114" spans="1:18" ht="15.75" x14ac:dyDescent="0.25">
      <c r="A114" s="5"/>
      <c r="B114" s="6"/>
      <c r="C114" s="5"/>
      <c r="D114" s="7"/>
      <c r="E114" s="5"/>
      <c r="F114" s="6"/>
      <c r="Q114" s="66" t="str">
        <f t="shared" si="5"/>
        <v/>
      </c>
      <c r="R114" s="30" t="str">
        <f t="shared" si="6"/>
        <v/>
      </c>
    </row>
    <row r="115" spans="1:18" ht="15.75" x14ac:dyDescent="0.25">
      <c r="A115" s="8"/>
      <c r="B115" s="9"/>
      <c r="C115" s="8"/>
      <c r="D115" s="22"/>
      <c r="E115" s="8"/>
      <c r="F115" s="9"/>
      <c r="Q115" s="48" t="str">
        <f t="shared" si="5"/>
        <v/>
      </c>
      <c r="R115" s="25" t="str">
        <f t="shared" si="6"/>
        <v/>
      </c>
    </row>
    <row r="116" spans="1:18" ht="15.75" x14ac:dyDescent="0.25">
      <c r="A116" s="5"/>
      <c r="B116" s="6"/>
      <c r="C116" s="5"/>
      <c r="D116" s="7"/>
      <c r="E116" s="5"/>
      <c r="F116" s="6"/>
      <c r="Q116" s="66" t="str">
        <f t="shared" si="5"/>
        <v/>
      </c>
      <c r="R116" s="30" t="str">
        <f t="shared" si="6"/>
        <v/>
      </c>
    </row>
    <row r="117" spans="1:18" ht="15.75" x14ac:dyDescent="0.25">
      <c r="A117" s="8"/>
      <c r="B117" s="9"/>
      <c r="C117" s="8"/>
      <c r="D117" s="22"/>
      <c r="E117" s="8"/>
      <c r="F117" s="9"/>
      <c r="Q117" s="48" t="str">
        <f t="shared" si="5"/>
        <v/>
      </c>
      <c r="R117" s="25" t="str">
        <f t="shared" si="6"/>
        <v/>
      </c>
    </row>
    <row r="118" spans="1:18" ht="15.75" x14ac:dyDescent="0.25">
      <c r="A118" s="5"/>
      <c r="B118" s="6"/>
      <c r="C118" s="5"/>
      <c r="D118" s="7"/>
      <c r="E118" s="5"/>
      <c r="F118" s="6"/>
      <c r="Q118" s="66" t="str">
        <f t="shared" si="5"/>
        <v/>
      </c>
      <c r="R118" s="30" t="str">
        <f t="shared" si="6"/>
        <v/>
      </c>
    </row>
    <row r="119" spans="1:18" ht="15.75" x14ac:dyDescent="0.25">
      <c r="A119" s="8"/>
      <c r="B119" s="9"/>
      <c r="C119" s="8"/>
      <c r="D119" s="22"/>
      <c r="E119" s="8"/>
      <c r="F119" s="9"/>
      <c r="Q119" s="48" t="str">
        <f t="shared" si="5"/>
        <v/>
      </c>
      <c r="R119" s="25" t="str">
        <f t="shared" si="6"/>
        <v/>
      </c>
    </row>
    <row r="120" spans="1:18" ht="15.75" x14ac:dyDescent="0.25">
      <c r="A120" s="5"/>
      <c r="B120" s="6"/>
      <c r="C120" s="5"/>
      <c r="D120" s="7"/>
      <c r="E120" s="5"/>
      <c r="F120" s="6"/>
      <c r="Q120" s="66" t="str">
        <f t="shared" si="5"/>
        <v/>
      </c>
      <c r="R120" s="30" t="str">
        <f t="shared" si="6"/>
        <v/>
      </c>
    </row>
    <row r="121" spans="1:18" ht="15.75" x14ac:dyDescent="0.25">
      <c r="A121" s="8"/>
      <c r="B121" s="9"/>
      <c r="C121" s="8"/>
      <c r="D121" s="22"/>
      <c r="E121" s="8"/>
      <c r="F121" s="9"/>
      <c r="Q121" s="48" t="str">
        <f t="shared" si="5"/>
        <v/>
      </c>
      <c r="R121" s="25" t="str">
        <f t="shared" si="6"/>
        <v/>
      </c>
    </row>
    <row r="122" spans="1:18" ht="15.75" x14ac:dyDescent="0.25">
      <c r="A122" s="5"/>
      <c r="B122" s="6"/>
      <c r="C122" s="5"/>
      <c r="D122" s="7"/>
      <c r="E122" s="5"/>
      <c r="F122" s="6"/>
      <c r="Q122" s="66" t="str">
        <f t="shared" si="5"/>
        <v/>
      </c>
      <c r="R122" s="30" t="str">
        <f t="shared" si="6"/>
        <v/>
      </c>
    </row>
    <row r="123" spans="1:18" ht="15.75" x14ac:dyDescent="0.25">
      <c r="A123" s="8"/>
      <c r="B123" s="9"/>
      <c r="C123" s="8"/>
      <c r="D123" s="22"/>
      <c r="E123" s="8"/>
      <c r="F123" s="9"/>
      <c r="Q123" s="48" t="str">
        <f t="shared" si="5"/>
        <v/>
      </c>
      <c r="R123" s="25" t="str">
        <f t="shared" si="6"/>
        <v/>
      </c>
    </row>
    <row r="124" spans="1:18" ht="15.75" x14ac:dyDescent="0.25">
      <c r="A124" s="5"/>
      <c r="B124" s="6"/>
      <c r="C124" s="5"/>
      <c r="D124" s="7"/>
      <c r="E124" s="5"/>
      <c r="F124" s="6"/>
      <c r="Q124" s="66" t="str">
        <f t="shared" si="5"/>
        <v/>
      </c>
      <c r="R124" s="30" t="str">
        <f t="shared" si="6"/>
        <v/>
      </c>
    </row>
    <row r="125" spans="1:18" ht="15.75" x14ac:dyDescent="0.25">
      <c r="A125" s="8"/>
      <c r="B125" s="9"/>
      <c r="C125" s="8"/>
      <c r="D125" s="22"/>
      <c r="E125" s="8"/>
      <c r="F125" s="9"/>
      <c r="Q125" s="48" t="str">
        <f t="shared" si="5"/>
        <v/>
      </c>
      <c r="R125" s="25" t="str">
        <f t="shared" si="6"/>
        <v/>
      </c>
    </row>
    <row r="126" spans="1:18" ht="15.75" x14ac:dyDescent="0.25">
      <c r="A126" s="5"/>
      <c r="B126" s="6"/>
      <c r="C126" s="5"/>
      <c r="D126" s="7"/>
      <c r="E126" s="5"/>
      <c r="F126" s="6"/>
      <c r="Q126" s="66" t="str">
        <f t="shared" si="5"/>
        <v/>
      </c>
      <c r="R126" s="30" t="str">
        <f t="shared" si="6"/>
        <v/>
      </c>
    </row>
    <row r="127" spans="1:18" ht="15.75" x14ac:dyDescent="0.25">
      <c r="A127" s="8"/>
      <c r="B127" s="9"/>
      <c r="C127" s="8"/>
      <c r="D127" s="22"/>
      <c r="E127" s="8"/>
      <c r="F127" s="9"/>
      <c r="Q127" s="48" t="str">
        <f t="shared" si="5"/>
        <v/>
      </c>
      <c r="R127" s="25" t="str">
        <f t="shared" si="6"/>
        <v/>
      </c>
    </row>
    <row r="128" spans="1:18" ht="15.75" x14ac:dyDescent="0.25">
      <c r="A128" s="5"/>
      <c r="B128" s="6"/>
      <c r="C128" s="5"/>
      <c r="D128" s="7"/>
      <c r="E128" s="5"/>
      <c r="F128" s="6"/>
      <c r="Q128" s="66" t="str">
        <f t="shared" si="5"/>
        <v/>
      </c>
      <c r="R128" s="30" t="str">
        <f t="shared" si="6"/>
        <v/>
      </c>
    </row>
    <row r="129" spans="1:18" ht="15.75" x14ac:dyDescent="0.25">
      <c r="A129" s="8"/>
      <c r="B129" s="9"/>
      <c r="C129" s="8"/>
      <c r="D129" s="22"/>
      <c r="E129" s="8"/>
      <c r="F129" s="9"/>
      <c r="Q129" s="48" t="str">
        <f t="shared" si="5"/>
        <v/>
      </c>
      <c r="R129" s="25" t="str">
        <f t="shared" si="6"/>
        <v/>
      </c>
    </row>
    <row r="130" spans="1:18" ht="15.75" x14ac:dyDescent="0.25">
      <c r="A130" s="5"/>
      <c r="B130" s="6"/>
      <c r="C130" s="5"/>
      <c r="D130" s="7"/>
      <c r="E130" s="5"/>
      <c r="F130" s="6"/>
      <c r="Q130" s="66" t="str">
        <f t="shared" si="5"/>
        <v/>
      </c>
      <c r="R130" s="30" t="str">
        <f t="shared" si="6"/>
        <v/>
      </c>
    </row>
    <row r="131" spans="1:18" ht="15.75" x14ac:dyDescent="0.25">
      <c r="A131" s="8"/>
      <c r="B131" s="9"/>
      <c r="C131" s="8"/>
      <c r="D131" s="22"/>
      <c r="E131" s="8"/>
      <c r="F131" s="9"/>
      <c r="Q131" s="48" t="str">
        <f t="shared" ref="Q131:Q194" si="7">IF(A131=$K$2,D131/60*$N$2,IF(A131=$K$3,D131/60*$N$3,IF(A131=$K$4,D131/60*$N$4,IF(A131=$K$5,D131/60*$N$5,IF(A131=$K$6,D131/60*$N$6,IF(A131=$K$7,D131/60*$N$7,IF(A131=$K$8,D131/60*$N$8,"")))))))</f>
        <v/>
      </c>
      <c r="R131" s="25" t="str">
        <f t="shared" ref="R131:R194" si="8">IF(D131="","",D131/$S$2)</f>
        <v/>
      </c>
    </row>
    <row r="132" spans="1:18" ht="15.75" x14ac:dyDescent="0.25">
      <c r="A132" s="5"/>
      <c r="B132" s="6"/>
      <c r="C132" s="5"/>
      <c r="D132" s="7"/>
      <c r="E132" s="5"/>
      <c r="F132" s="6"/>
      <c r="Q132" s="66" t="str">
        <f t="shared" si="7"/>
        <v/>
      </c>
      <c r="R132" s="30" t="str">
        <f t="shared" si="8"/>
        <v/>
      </c>
    </row>
    <row r="133" spans="1:18" ht="15.75" x14ac:dyDescent="0.25">
      <c r="A133" s="8"/>
      <c r="B133" s="9"/>
      <c r="C133" s="8"/>
      <c r="D133" s="22"/>
      <c r="E133" s="8"/>
      <c r="F133" s="9"/>
      <c r="Q133" s="48" t="str">
        <f t="shared" si="7"/>
        <v/>
      </c>
      <c r="R133" s="25" t="str">
        <f t="shared" si="8"/>
        <v/>
      </c>
    </row>
    <row r="134" spans="1:18" ht="15.75" x14ac:dyDescent="0.25">
      <c r="A134" s="5"/>
      <c r="B134" s="6"/>
      <c r="C134" s="5"/>
      <c r="D134" s="7"/>
      <c r="E134" s="5"/>
      <c r="F134" s="6"/>
      <c r="Q134" s="66" t="str">
        <f t="shared" si="7"/>
        <v/>
      </c>
      <c r="R134" s="30" t="str">
        <f t="shared" si="8"/>
        <v/>
      </c>
    </row>
    <row r="135" spans="1:18" ht="15.75" x14ac:dyDescent="0.25">
      <c r="A135" s="8"/>
      <c r="B135" s="9"/>
      <c r="C135" s="8"/>
      <c r="D135" s="22"/>
      <c r="E135" s="8"/>
      <c r="F135" s="9"/>
      <c r="Q135" s="48" t="str">
        <f t="shared" si="7"/>
        <v/>
      </c>
      <c r="R135" s="25" t="str">
        <f t="shared" si="8"/>
        <v/>
      </c>
    </row>
    <row r="136" spans="1:18" ht="15.75" x14ac:dyDescent="0.25">
      <c r="A136" s="5"/>
      <c r="B136" s="6"/>
      <c r="C136" s="5"/>
      <c r="D136" s="7"/>
      <c r="E136" s="5"/>
      <c r="F136" s="6"/>
      <c r="Q136" s="66" t="str">
        <f t="shared" si="7"/>
        <v/>
      </c>
      <c r="R136" s="30" t="str">
        <f t="shared" si="8"/>
        <v/>
      </c>
    </row>
    <row r="137" spans="1:18" ht="15.75" x14ac:dyDescent="0.25">
      <c r="A137" s="8"/>
      <c r="B137" s="9"/>
      <c r="C137" s="8"/>
      <c r="D137" s="22"/>
      <c r="E137" s="8"/>
      <c r="F137" s="9"/>
      <c r="Q137" s="48" t="str">
        <f t="shared" si="7"/>
        <v/>
      </c>
      <c r="R137" s="25" t="str">
        <f t="shared" si="8"/>
        <v/>
      </c>
    </row>
    <row r="138" spans="1:18" ht="15.75" x14ac:dyDescent="0.25">
      <c r="A138" s="5"/>
      <c r="B138" s="6"/>
      <c r="C138" s="5"/>
      <c r="D138" s="7"/>
      <c r="E138" s="5"/>
      <c r="F138" s="6"/>
      <c r="Q138" s="66" t="str">
        <f t="shared" si="7"/>
        <v/>
      </c>
      <c r="R138" s="30" t="str">
        <f t="shared" si="8"/>
        <v/>
      </c>
    </row>
    <row r="139" spans="1:18" ht="15.75" x14ac:dyDescent="0.25">
      <c r="A139" s="8"/>
      <c r="B139" s="9"/>
      <c r="C139" s="8"/>
      <c r="D139" s="22"/>
      <c r="E139" s="8"/>
      <c r="F139" s="9"/>
      <c r="Q139" s="48" t="str">
        <f t="shared" si="7"/>
        <v/>
      </c>
      <c r="R139" s="25" t="str">
        <f t="shared" si="8"/>
        <v/>
      </c>
    </row>
    <row r="140" spans="1:18" ht="15.75" x14ac:dyDescent="0.25">
      <c r="A140" s="5"/>
      <c r="B140" s="6"/>
      <c r="C140" s="5"/>
      <c r="D140" s="7"/>
      <c r="E140" s="5"/>
      <c r="F140" s="6"/>
      <c r="Q140" s="66" t="str">
        <f t="shared" si="7"/>
        <v/>
      </c>
      <c r="R140" s="30" t="str">
        <f t="shared" si="8"/>
        <v/>
      </c>
    </row>
    <row r="141" spans="1:18" ht="15.75" x14ac:dyDescent="0.25">
      <c r="A141" s="8"/>
      <c r="B141" s="9"/>
      <c r="C141" s="8"/>
      <c r="D141" s="22"/>
      <c r="E141" s="8"/>
      <c r="F141" s="9"/>
      <c r="Q141" s="48" t="str">
        <f t="shared" si="7"/>
        <v/>
      </c>
      <c r="R141" s="25" t="str">
        <f t="shared" si="8"/>
        <v/>
      </c>
    </row>
    <row r="142" spans="1:18" ht="15.75" x14ac:dyDescent="0.25">
      <c r="A142" s="5"/>
      <c r="B142" s="6"/>
      <c r="C142" s="5"/>
      <c r="D142" s="7"/>
      <c r="E142" s="5"/>
      <c r="F142" s="6"/>
      <c r="Q142" s="66" t="str">
        <f t="shared" si="7"/>
        <v/>
      </c>
      <c r="R142" s="30" t="str">
        <f t="shared" si="8"/>
        <v/>
      </c>
    </row>
    <row r="143" spans="1:18" ht="15.75" x14ac:dyDescent="0.25">
      <c r="A143" s="8"/>
      <c r="B143" s="9"/>
      <c r="C143" s="8"/>
      <c r="D143" s="22"/>
      <c r="E143" s="8"/>
      <c r="F143" s="9"/>
      <c r="Q143" s="48" t="str">
        <f t="shared" si="7"/>
        <v/>
      </c>
      <c r="R143" s="25" t="str">
        <f t="shared" si="8"/>
        <v/>
      </c>
    </row>
    <row r="144" spans="1:18" ht="15.75" x14ac:dyDescent="0.25">
      <c r="A144" s="5"/>
      <c r="B144" s="6"/>
      <c r="C144" s="5"/>
      <c r="D144" s="7"/>
      <c r="E144" s="5"/>
      <c r="F144" s="6"/>
      <c r="Q144" s="66" t="str">
        <f t="shared" si="7"/>
        <v/>
      </c>
      <c r="R144" s="30" t="str">
        <f t="shared" si="8"/>
        <v/>
      </c>
    </row>
    <row r="145" spans="1:18" ht="15.75" x14ac:dyDescent="0.25">
      <c r="A145" s="8"/>
      <c r="B145" s="9"/>
      <c r="C145" s="8"/>
      <c r="D145" s="22"/>
      <c r="E145" s="8"/>
      <c r="F145" s="9"/>
      <c r="Q145" s="48" t="str">
        <f t="shared" si="7"/>
        <v/>
      </c>
      <c r="R145" s="25" t="str">
        <f t="shared" si="8"/>
        <v/>
      </c>
    </row>
    <row r="146" spans="1:18" ht="15.75" x14ac:dyDescent="0.25">
      <c r="A146" s="5"/>
      <c r="B146" s="6"/>
      <c r="C146" s="5"/>
      <c r="D146" s="7"/>
      <c r="E146" s="5"/>
      <c r="F146" s="6"/>
      <c r="Q146" s="66" t="str">
        <f t="shared" si="7"/>
        <v/>
      </c>
      <c r="R146" s="30" t="str">
        <f t="shared" si="8"/>
        <v/>
      </c>
    </row>
    <row r="147" spans="1:18" ht="15.75" x14ac:dyDescent="0.25">
      <c r="A147" s="8"/>
      <c r="B147" s="9"/>
      <c r="C147" s="8"/>
      <c r="D147" s="22"/>
      <c r="E147" s="8"/>
      <c r="F147" s="9"/>
      <c r="Q147" s="48" t="str">
        <f t="shared" si="7"/>
        <v/>
      </c>
      <c r="R147" s="25" t="str">
        <f t="shared" si="8"/>
        <v/>
      </c>
    </row>
    <row r="148" spans="1:18" ht="15.75" x14ac:dyDescent="0.25">
      <c r="A148" s="5"/>
      <c r="B148" s="6"/>
      <c r="C148" s="5"/>
      <c r="D148" s="7"/>
      <c r="E148" s="5"/>
      <c r="F148" s="6"/>
      <c r="Q148" s="66" t="str">
        <f t="shared" si="7"/>
        <v/>
      </c>
      <c r="R148" s="30" t="str">
        <f t="shared" si="8"/>
        <v/>
      </c>
    </row>
    <row r="149" spans="1:18" ht="15.75" x14ac:dyDescent="0.25">
      <c r="A149" s="8"/>
      <c r="B149" s="9"/>
      <c r="C149" s="8"/>
      <c r="D149" s="22"/>
      <c r="E149" s="8"/>
      <c r="F149" s="9"/>
      <c r="Q149" s="48" t="str">
        <f t="shared" si="7"/>
        <v/>
      </c>
      <c r="R149" s="25" t="str">
        <f t="shared" si="8"/>
        <v/>
      </c>
    </row>
    <row r="150" spans="1:18" ht="15.75" x14ac:dyDescent="0.25">
      <c r="A150" s="5"/>
      <c r="B150" s="6"/>
      <c r="C150" s="5"/>
      <c r="D150" s="7"/>
      <c r="E150" s="5"/>
      <c r="F150" s="6"/>
      <c r="Q150" s="66" t="str">
        <f t="shared" si="7"/>
        <v/>
      </c>
      <c r="R150" s="30" t="str">
        <f t="shared" si="8"/>
        <v/>
      </c>
    </row>
    <row r="151" spans="1:18" ht="15.75" x14ac:dyDescent="0.25">
      <c r="A151" s="8"/>
      <c r="B151" s="9"/>
      <c r="C151" s="8"/>
      <c r="D151" s="22"/>
      <c r="E151" s="8"/>
      <c r="F151" s="9"/>
      <c r="Q151" s="48" t="str">
        <f t="shared" si="7"/>
        <v/>
      </c>
      <c r="R151" s="25" t="str">
        <f t="shared" si="8"/>
        <v/>
      </c>
    </row>
    <row r="152" spans="1:18" ht="15.75" x14ac:dyDescent="0.25">
      <c r="A152" s="5"/>
      <c r="B152" s="6"/>
      <c r="C152" s="5"/>
      <c r="D152" s="7"/>
      <c r="E152" s="5"/>
      <c r="F152" s="6"/>
      <c r="Q152" s="66" t="str">
        <f t="shared" si="7"/>
        <v/>
      </c>
      <c r="R152" s="30" t="str">
        <f t="shared" si="8"/>
        <v/>
      </c>
    </row>
    <row r="153" spans="1:18" ht="15.75" x14ac:dyDescent="0.25">
      <c r="A153" s="8"/>
      <c r="B153" s="9"/>
      <c r="C153" s="8"/>
      <c r="D153" s="22"/>
      <c r="E153" s="8"/>
      <c r="F153" s="9"/>
      <c r="Q153" s="48" t="str">
        <f t="shared" si="7"/>
        <v/>
      </c>
      <c r="R153" s="25" t="str">
        <f t="shared" si="8"/>
        <v/>
      </c>
    </row>
    <row r="154" spans="1:18" ht="15.75" x14ac:dyDescent="0.25">
      <c r="A154" s="5"/>
      <c r="B154" s="6"/>
      <c r="C154" s="5"/>
      <c r="D154" s="7"/>
      <c r="E154" s="5"/>
      <c r="F154" s="6"/>
      <c r="Q154" s="66" t="str">
        <f t="shared" si="7"/>
        <v/>
      </c>
      <c r="R154" s="30" t="str">
        <f t="shared" si="8"/>
        <v/>
      </c>
    </row>
    <row r="155" spans="1:18" ht="15.75" x14ac:dyDescent="0.25">
      <c r="A155" s="8"/>
      <c r="B155" s="9"/>
      <c r="C155" s="8"/>
      <c r="D155" s="22"/>
      <c r="E155" s="8"/>
      <c r="F155" s="9"/>
      <c r="Q155" s="48" t="str">
        <f t="shared" si="7"/>
        <v/>
      </c>
      <c r="R155" s="25" t="str">
        <f t="shared" si="8"/>
        <v/>
      </c>
    </row>
    <row r="156" spans="1:18" ht="15.75" x14ac:dyDescent="0.25">
      <c r="A156" s="5"/>
      <c r="B156" s="6"/>
      <c r="C156" s="5"/>
      <c r="D156" s="7"/>
      <c r="E156" s="5"/>
      <c r="F156" s="6"/>
      <c r="Q156" s="66" t="str">
        <f t="shared" si="7"/>
        <v/>
      </c>
      <c r="R156" s="30" t="str">
        <f t="shared" si="8"/>
        <v/>
      </c>
    </row>
    <row r="157" spans="1:18" ht="15.75" x14ac:dyDescent="0.25">
      <c r="A157" s="8"/>
      <c r="B157" s="9"/>
      <c r="C157" s="8"/>
      <c r="D157" s="22"/>
      <c r="E157" s="8"/>
      <c r="F157" s="9"/>
      <c r="Q157" s="48" t="str">
        <f t="shared" si="7"/>
        <v/>
      </c>
      <c r="R157" s="25" t="str">
        <f t="shared" si="8"/>
        <v/>
      </c>
    </row>
    <row r="158" spans="1:18" ht="15.75" x14ac:dyDescent="0.25">
      <c r="A158" s="5"/>
      <c r="B158" s="6"/>
      <c r="C158" s="5"/>
      <c r="D158" s="7"/>
      <c r="E158" s="5"/>
      <c r="F158" s="6"/>
      <c r="Q158" s="66" t="str">
        <f t="shared" si="7"/>
        <v/>
      </c>
      <c r="R158" s="30" t="str">
        <f t="shared" si="8"/>
        <v/>
      </c>
    </row>
    <row r="159" spans="1:18" ht="15.75" x14ac:dyDescent="0.25">
      <c r="A159" s="8"/>
      <c r="B159" s="9"/>
      <c r="C159" s="8"/>
      <c r="D159" s="22"/>
      <c r="E159" s="8"/>
      <c r="F159" s="9"/>
      <c r="Q159" s="48" t="str">
        <f t="shared" si="7"/>
        <v/>
      </c>
      <c r="R159" s="25" t="str">
        <f t="shared" si="8"/>
        <v/>
      </c>
    </row>
    <row r="160" spans="1:18" ht="15.75" x14ac:dyDescent="0.25">
      <c r="A160" s="5"/>
      <c r="B160" s="6"/>
      <c r="C160" s="5"/>
      <c r="D160" s="7"/>
      <c r="E160" s="5"/>
      <c r="F160" s="6"/>
      <c r="Q160" s="66" t="str">
        <f t="shared" si="7"/>
        <v/>
      </c>
      <c r="R160" s="30" t="str">
        <f t="shared" si="8"/>
        <v/>
      </c>
    </row>
    <row r="161" spans="1:18" ht="15.75" x14ac:dyDescent="0.25">
      <c r="A161" s="8"/>
      <c r="B161" s="9"/>
      <c r="C161" s="8"/>
      <c r="D161" s="22"/>
      <c r="E161" s="8"/>
      <c r="F161" s="9"/>
      <c r="Q161" s="48" t="str">
        <f t="shared" si="7"/>
        <v/>
      </c>
      <c r="R161" s="25" t="str">
        <f t="shared" si="8"/>
        <v/>
      </c>
    </row>
    <row r="162" spans="1:18" ht="15.75" x14ac:dyDescent="0.25">
      <c r="A162" s="5"/>
      <c r="B162" s="6"/>
      <c r="C162" s="5"/>
      <c r="D162" s="7"/>
      <c r="E162" s="5"/>
      <c r="F162" s="6"/>
      <c r="Q162" s="66" t="str">
        <f t="shared" si="7"/>
        <v/>
      </c>
      <c r="R162" s="30" t="str">
        <f t="shared" si="8"/>
        <v/>
      </c>
    </row>
    <row r="163" spans="1:18" ht="15.75" x14ac:dyDescent="0.25">
      <c r="A163" s="8"/>
      <c r="B163" s="9"/>
      <c r="C163" s="8"/>
      <c r="D163" s="22"/>
      <c r="E163" s="8"/>
      <c r="F163" s="9"/>
      <c r="Q163" s="48" t="str">
        <f t="shared" si="7"/>
        <v/>
      </c>
      <c r="R163" s="25" t="str">
        <f t="shared" si="8"/>
        <v/>
      </c>
    </row>
    <row r="164" spans="1:18" ht="15.75" x14ac:dyDescent="0.25">
      <c r="A164" s="5"/>
      <c r="B164" s="6"/>
      <c r="C164" s="5"/>
      <c r="D164" s="7"/>
      <c r="E164" s="5"/>
      <c r="F164" s="6"/>
      <c r="Q164" s="66" t="str">
        <f t="shared" si="7"/>
        <v/>
      </c>
      <c r="R164" s="30" t="str">
        <f t="shared" si="8"/>
        <v/>
      </c>
    </row>
    <row r="165" spans="1:18" ht="15.75" x14ac:dyDescent="0.25">
      <c r="A165" s="8"/>
      <c r="B165" s="9"/>
      <c r="C165" s="8"/>
      <c r="D165" s="22"/>
      <c r="E165" s="8"/>
      <c r="F165" s="9"/>
      <c r="Q165" s="48" t="str">
        <f t="shared" si="7"/>
        <v/>
      </c>
      <c r="R165" s="25" t="str">
        <f t="shared" si="8"/>
        <v/>
      </c>
    </row>
    <row r="166" spans="1:18" ht="15.75" x14ac:dyDescent="0.25">
      <c r="A166" s="5"/>
      <c r="B166" s="6"/>
      <c r="C166" s="5"/>
      <c r="D166" s="7"/>
      <c r="E166" s="5"/>
      <c r="F166" s="6"/>
      <c r="Q166" s="66" t="str">
        <f t="shared" si="7"/>
        <v/>
      </c>
      <c r="R166" s="30" t="str">
        <f t="shared" si="8"/>
        <v/>
      </c>
    </row>
    <row r="167" spans="1:18" ht="15.75" x14ac:dyDescent="0.25">
      <c r="A167" s="8"/>
      <c r="B167" s="9"/>
      <c r="C167" s="8"/>
      <c r="D167" s="22"/>
      <c r="E167" s="8"/>
      <c r="F167" s="9"/>
      <c r="Q167" s="48" t="str">
        <f t="shared" si="7"/>
        <v/>
      </c>
      <c r="R167" s="25" t="str">
        <f t="shared" si="8"/>
        <v/>
      </c>
    </row>
    <row r="168" spans="1:18" ht="15.75" x14ac:dyDescent="0.25">
      <c r="A168" s="5"/>
      <c r="B168" s="6"/>
      <c r="C168" s="5"/>
      <c r="D168" s="7"/>
      <c r="E168" s="5"/>
      <c r="F168" s="6"/>
      <c r="Q168" s="66" t="str">
        <f t="shared" si="7"/>
        <v/>
      </c>
      <c r="R168" s="30" t="str">
        <f t="shared" si="8"/>
        <v/>
      </c>
    </row>
    <row r="169" spans="1:18" ht="15.75" x14ac:dyDescent="0.25">
      <c r="A169" s="8"/>
      <c r="B169" s="9"/>
      <c r="C169" s="8"/>
      <c r="D169" s="22"/>
      <c r="E169" s="8"/>
      <c r="F169" s="9"/>
      <c r="Q169" s="48" t="str">
        <f t="shared" si="7"/>
        <v/>
      </c>
      <c r="R169" s="25" t="str">
        <f t="shared" si="8"/>
        <v/>
      </c>
    </row>
    <row r="170" spans="1:18" ht="15.75" x14ac:dyDescent="0.25">
      <c r="A170" s="5"/>
      <c r="B170" s="6"/>
      <c r="C170" s="5"/>
      <c r="D170" s="7"/>
      <c r="E170" s="5"/>
      <c r="F170" s="6"/>
      <c r="Q170" s="66" t="str">
        <f t="shared" si="7"/>
        <v/>
      </c>
      <c r="R170" s="30" t="str">
        <f t="shared" si="8"/>
        <v/>
      </c>
    </row>
    <row r="171" spans="1:18" ht="15.75" x14ac:dyDescent="0.25">
      <c r="A171" s="8"/>
      <c r="B171" s="9"/>
      <c r="C171" s="8"/>
      <c r="D171" s="22"/>
      <c r="E171" s="8"/>
      <c r="F171" s="9"/>
      <c r="Q171" s="48" t="str">
        <f t="shared" si="7"/>
        <v/>
      </c>
      <c r="R171" s="25" t="str">
        <f t="shared" si="8"/>
        <v/>
      </c>
    </row>
    <row r="172" spans="1:18" ht="15.75" x14ac:dyDescent="0.25">
      <c r="A172" s="5"/>
      <c r="B172" s="6"/>
      <c r="C172" s="5"/>
      <c r="D172" s="7"/>
      <c r="E172" s="5"/>
      <c r="F172" s="6"/>
      <c r="Q172" s="66" t="str">
        <f t="shared" si="7"/>
        <v/>
      </c>
      <c r="R172" s="30" t="str">
        <f t="shared" si="8"/>
        <v/>
      </c>
    </row>
    <row r="173" spans="1:18" ht="15.75" x14ac:dyDescent="0.25">
      <c r="A173" s="8"/>
      <c r="B173" s="9"/>
      <c r="C173" s="8"/>
      <c r="D173" s="22"/>
      <c r="E173" s="8"/>
      <c r="F173" s="9"/>
      <c r="Q173" s="48" t="str">
        <f t="shared" si="7"/>
        <v/>
      </c>
      <c r="R173" s="25" t="str">
        <f t="shared" si="8"/>
        <v/>
      </c>
    </row>
    <row r="174" spans="1:18" ht="15.75" x14ac:dyDescent="0.25">
      <c r="A174" s="5"/>
      <c r="B174" s="6"/>
      <c r="C174" s="5"/>
      <c r="D174" s="7"/>
      <c r="E174" s="5"/>
      <c r="F174" s="6"/>
      <c r="Q174" s="66" t="str">
        <f t="shared" si="7"/>
        <v/>
      </c>
      <c r="R174" s="30" t="str">
        <f t="shared" si="8"/>
        <v/>
      </c>
    </row>
    <row r="175" spans="1:18" ht="15.75" x14ac:dyDescent="0.25">
      <c r="A175" s="8"/>
      <c r="B175" s="9"/>
      <c r="C175" s="8"/>
      <c r="D175" s="22"/>
      <c r="E175" s="8"/>
      <c r="F175" s="9"/>
      <c r="Q175" s="48" t="str">
        <f t="shared" si="7"/>
        <v/>
      </c>
      <c r="R175" s="25" t="str">
        <f t="shared" si="8"/>
        <v/>
      </c>
    </row>
    <row r="176" spans="1:18" ht="15.75" x14ac:dyDescent="0.25">
      <c r="A176" s="5"/>
      <c r="B176" s="6"/>
      <c r="C176" s="5"/>
      <c r="D176" s="7"/>
      <c r="E176" s="5"/>
      <c r="F176" s="6"/>
      <c r="Q176" s="66" t="str">
        <f t="shared" si="7"/>
        <v/>
      </c>
      <c r="R176" s="30" t="str">
        <f t="shared" si="8"/>
        <v/>
      </c>
    </row>
    <row r="177" spans="1:18" ht="15.75" x14ac:dyDescent="0.25">
      <c r="A177" s="8"/>
      <c r="B177" s="9"/>
      <c r="C177" s="8"/>
      <c r="D177" s="22"/>
      <c r="E177" s="8"/>
      <c r="F177" s="9"/>
      <c r="Q177" s="48" t="str">
        <f t="shared" si="7"/>
        <v/>
      </c>
      <c r="R177" s="25" t="str">
        <f t="shared" si="8"/>
        <v/>
      </c>
    </row>
    <row r="178" spans="1:18" ht="15.75" x14ac:dyDescent="0.25">
      <c r="A178" s="5"/>
      <c r="B178" s="6"/>
      <c r="C178" s="5"/>
      <c r="D178" s="7"/>
      <c r="E178" s="5"/>
      <c r="F178" s="6"/>
      <c r="Q178" s="66" t="str">
        <f t="shared" si="7"/>
        <v/>
      </c>
      <c r="R178" s="30" t="str">
        <f t="shared" si="8"/>
        <v/>
      </c>
    </row>
    <row r="179" spans="1:18" ht="15.75" x14ac:dyDescent="0.25">
      <c r="A179" s="8"/>
      <c r="B179" s="9"/>
      <c r="C179" s="8"/>
      <c r="D179" s="22"/>
      <c r="E179" s="8"/>
      <c r="F179" s="9"/>
      <c r="Q179" s="48" t="str">
        <f t="shared" si="7"/>
        <v/>
      </c>
      <c r="R179" s="25" t="str">
        <f t="shared" si="8"/>
        <v/>
      </c>
    </row>
    <row r="180" spans="1:18" ht="15.75" x14ac:dyDescent="0.25">
      <c r="A180" s="5"/>
      <c r="B180" s="6"/>
      <c r="C180" s="5"/>
      <c r="D180" s="7"/>
      <c r="E180" s="5"/>
      <c r="F180" s="6"/>
      <c r="Q180" s="66" t="str">
        <f t="shared" si="7"/>
        <v/>
      </c>
      <c r="R180" s="30" t="str">
        <f t="shared" si="8"/>
        <v/>
      </c>
    </row>
    <row r="181" spans="1:18" ht="15.75" x14ac:dyDescent="0.25">
      <c r="A181" s="8"/>
      <c r="B181" s="9"/>
      <c r="C181" s="8"/>
      <c r="D181" s="22"/>
      <c r="E181" s="8"/>
      <c r="F181" s="9"/>
      <c r="Q181" s="48" t="str">
        <f t="shared" si="7"/>
        <v/>
      </c>
      <c r="R181" s="25" t="str">
        <f t="shared" si="8"/>
        <v/>
      </c>
    </row>
    <row r="182" spans="1:18" ht="15.75" x14ac:dyDescent="0.25">
      <c r="A182" s="5"/>
      <c r="B182" s="6"/>
      <c r="C182" s="5"/>
      <c r="D182" s="7"/>
      <c r="E182" s="5"/>
      <c r="F182" s="6"/>
      <c r="Q182" s="66" t="str">
        <f t="shared" si="7"/>
        <v/>
      </c>
      <c r="R182" s="30" t="str">
        <f t="shared" si="8"/>
        <v/>
      </c>
    </row>
    <row r="183" spans="1:18" ht="15.75" x14ac:dyDescent="0.25">
      <c r="A183" s="8"/>
      <c r="B183" s="9"/>
      <c r="C183" s="8"/>
      <c r="D183" s="22"/>
      <c r="E183" s="8"/>
      <c r="F183" s="9"/>
      <c r="Q183" s="48" t="str">
        <f t="shared" si="7"/>
        <v/>
      </c>
      <c r="R183" s="25" t="str">
        <f t="shared" si="8"/>
        <v/>
      </c>
    </row>
    <row r="184" spans="1:18" ht="15.75" x14ac:dyDescent="0.25">
      <c r="A184" s="5"/>
      <c r="B184" s="6"/>
      <c r="C184" s="5"/>
      <c r="D184" s="7"/>
      <c r="E184" s="5"/>
      <c r="F184" s="6"/>
      <c r="Q184" s="66" t="str">
        <f t="shared" si="7"/>
        <v/>
      </c>
      <c r="R184" s="30" t="str">
        <f t="shared" si="8"/>
        <v/>
      </c>
    </row>
    <row r="185" spans="1:18" ht="15.75" x14ac:dyDescent="0.25">
      <c r="A185" s="8"/>
      <c r="B185" s="9"/>
      <c r="C185" s="8"/>
      <c r="D185" s="22"/>
      <c r="E185" s="8"/>
      <c r="F185" s="9"/>
      <c r="Q185" s="48" t="str">
        <f t="shared" si="7"/>
        <v/>
      </c>
      <c r="R185" s="25" t="str">
        <f t="shared" si="8"/>
        <v/>
      </c>
    </row>
    <row r="186" spans="1:18" ht="15.75" x14ac:dyDescent="0.25">
      <c r="A186" s="5"/>
      <c r="B186" s="6"/>
      <c r="C186" s="5"/>
      <c r="D186" s="7"/>
      <c r="E186" s="5"/>
      <c r="F186" s="6"/>
      <c r="Q186" s="66" t="str">
        <f t="shared" si="7"/>
        <v/>
      </c>
      <c r="R186" s="30" t="str">
        <f t="shared" si="8"/>
        <v/>
      </c>
    </row>
    <row r="187" spans="1:18" ht="15.75" x14ac:dyDescent="0.25">
      <c r="A187" s="8"/>
      <c r="B187" s="9"/>
      <c r="C187" s="8"/>
      <c r="D187" s="22"/>
      <c r="E187" s="8"/>
      <c r="F187" s="9"/>
      <c r="Q187" s="48" t="str">
        <f t="shared" si="7"/>
        <v/>
      </c>
      <c r="R187" s="25" t="str">
        <f t="shared" si="8"/>
        <v/>
      </c>
    </row>
    <row r="188" spans="1:18" ht="15.75" x14ac:dyDescent="0.25">
      <c r="A188" s="5"/>
      <c r="B188" s="6"/>
      <c r="C188" s="5"/>
      <c r="D188" s="7"/>
      <c r="E188" s="5"/>
      <c r="F188" s="6"/>
      <c r="Q188" s="66" t="str">
        <f t="shared" si="7"/>
        <v/>
      </c>
      <c r="R188" s="30" t="str">
        <f t="shared" si="8"/>
        <v/>
      </c>
    </row>
    <row r="189" spans="1:18" ht="15.75" x14ac:dyDescent="0.25">
      <c r="A189" s="8"/>
      <c r="B189" s="9"/>
      <c r="C189" s="8"/>
      <c r="D189" s="22"/>
      <c r="E189" s="8"/>
      <c r="F189" s="9"/>
      <c r="Q189" s="48" t="str">
        <f t="shared" si="7"/>
        <v/>
      </c>
      <c r="R189" s="25" t="str">
        <f t="shared" si="8"/>
        <v/>
      </c>
    </row>
    <row r="190" spans="1:18" ht="15.75" x14ac:dyDescent="0.25">
      <c r="A190" s="5"/>
      <c r="B190" s="6"/>
      <c r="C190" s="5"/>
      <c r="D190" s="7"/>
      <c r="E190" s="5"/>
      <c r="F190" s="6"/>
      <c r="Q190" s="66" t="str">
        <f t="shared" si="7"/>
        <v/>
      </c>
      <c r="R190" s="30" t="str">
        <f t="shared" si="8"/>
        <v/>
      </c>
    </row>
    <row r="191" spans="1:18" ht="15.75" x14ac:dyDescent="0.25">
      <c r="A191" s="8"/>
      <c r="B191" s="9"/>
      <c r="C191" s="8"/>
      <c r="D191" s="22"/>
      <c r="E191" s="8"/>
      <c r="F191" s="9"/>
      <c r="Q191" s="48" t="str">
        <f t="shared" si="7"/>
        <v/>
      </c>
      <c r="R191" s="25" t="str">
        <f t="shared" si="8"/>
        <v/>
      </c>
    </row>
    <row r="192" spans="1:18" ht="15.75" x14ac:dyDescent="0.25">
      <c r="A192" s="5"/>
      <c r="B192" s="6"/>
      <c r="C192" s="5"/>
      <c r="D192" s="7"/>
      <c r="E192" s="5"/>
      <c r="F192" s="6"/>
      <c r="Q192" s="66" t="str">
        <f t="shared" si="7"/>
        <v/>
      </c>
      <c r="R192" s="30" t="str">
        <f t="shared" si="8"/>
        <v/>
      </c>
    </row>
    <row r="193" spans="1:18" ht="15.75" x14ac:dyDescent="0.25">
      <c r="A193" s="8"/>
      <c r="B193" s="9"/>
      <c r="C193" s="8"/>
      <c r="D193" s="22"/>
      <c r="E193" s="8"/>
      <c r="F193" s="9"/>
      <c r="Q193" s="48" t="str">
        <f t="shared" si="7"/>
        <v/>
      </c>
      <c r="R193" s="25" t="str">
        <f t="shared" si="8"/>
        <v/>
      </c>
    </row>
    <row r="194" spans="1:18" ht="15.75" x14ac:dyDescent="0.25">
      <c r="A194" s="5"/>
      <c r="B194" s="6"/>
      <c r="C194" s="5"/>
      <c r="D194" s="7"/>
      <c r="E194" s="5"/>
      <c r="F194" s="6"/>
      <c r="Q194" s="66" t="str">
        <f t="shared" si="7"/>
        <v/>
      </c>
      <c r="R194" s="30" t="str">
        <f t="shared" si="8"/>
        <v/>
      </c>
    </row>
    <row r="195" spans="1:18" ht="15.75" x14ac:dyDescent="0.25">
      <c r="A195" s="8"/>
      <c r="B195" s="9"/>
      <c r="C195" s="8"/>
      <c r="D195" s="22"/>
      <c r="E195" s="8"/>
      <c r="F195" s="9"/>
      <c r="Q195" s="48" t="str">
        <f t="shared" ref="Q195:Q258" si="9">IF(A195=$K$2,D195/60*$N$2,IF(A195=$K$3,D195/60*$N$3,IF(A195=$K$4,D195/60*$N$4,IF(A195=$K$5,D195/60*$N$5,IF(A195=$K$6,D195/60*$N$6,IF(A195=$K$7,D195/60*$N$7,IF(A195=$K$8,D195/60*$N$8,"")))))))</f>
        <v/>
      </c>
      <c r="R195" s="25" t="str">
        <f t="shared" ref="R195:R258" si="10">IF(D195="","",D195/$S$2)</f>
        <v/>
      </c>
    </row>
    <row r="196" spans="1:18" ht="15.75" x14ac:dyDescent="0.25">
      <c r="A196" s="5"/>
      <c r="B196" s="6"/>
      <c r="C196" s="5"/>
      <c r="D196" s="7"/>
      <c r="E196" s="5"/>
      <c r="F196" s="6"/>
      <c r="Q196" s="66" t="str">
        <f t="shared" si="9"/>
        <v/>
      </c>
      <c r="R196" s="30" t="str">
        <f t="shared" si="10"/>
        <v/>
      </c>
    </row>
    <row r="197" spans="1:18" ht="15.75" x14ac:dyDescent="0.25">
      <c r="A197" s="8"/>
      <c r="B197" s="9"/>
      <c r="C197" s="8"/>
      <c r="D197" s="22"/>
      <c r="E197" s="8"/>
      <c r="F197" s="9"/>
      <c r="Q197" s="48" t="str">
        <f t="shared" si="9"/>
        <v/>
      </c>
      <c r="R197" s="25" t="str">
        <f t="shared" si="10"/>
        <v/>
      </c>
    </row>
    <row r="198" spans="1:18" ht="15.75" x14ac:dyDescent="0.25">
      <c r="A198" s="5"/>
      <c r="B198" s="6"/>
      <c r="C198" s="5"/>
      <c r="D198" s="7"/>
      <c r="E198" s="5"/>
      <c r="F198" s="6"/>
      <c r="Q198" s="66" t="str">
        <f t="shared" si="9"/>
        <v/>
      </c>
      <c r="R198" s="30" t="str">
        <f t="shared" si="10"/>
        <v/>
      </c>
    </row>
    <row r="199" spans="1:18" ht="15.75" x14ac:dyDescent="0.25">
      <c r="A199" s="8"/>
      <c r="B199" s="9"/>
      <c r="C199" s="8"/>
      <c r="D199" s="22"/>
      <c r="E199" s="8"/>
      <c r="F199" s="9"/>
      <c r="Q199" s="48" t="str">
        <f t="shared" si="9"/>
        <v/>
      </c>
      <c r="R199" s="25" t="str">
        <f t="shared" si="10"/>
        <v/>
      </c>
    </row>
    <row r="200" spans="1:18" ht="15.75" x14ac:dyDescent="0.25">
      <c r="A200" s="5"/>
      <c r="B200" s="6"/>
      <c r="C200" s="5"/>
      <c r="D200" s="7"/>
      <c r="E200" s="5"/>
      <c r="F200" s="6"/>
      <c r="Q200" s="66" t="str">
        <f t="shared" si="9"/>
        <v/>
      </c>
      <c r="R200" s="30" t="str">
        <f t="shared" si="10"/>
        <v/>
      </c>
    </row>
    <row r="201" spans="1:18" ht="15.75" x14ac:dyDescent="0.25">
      <c r="A201" s="8"/>
      <c r="B201" s="9"/>
      <c r="C201" s="8"/>
      <c r="D201" s="22"/>
      <c r="E201" s="8"/>
      <c r="F201" s="9"/>
      <c r="Q201" s="48" t="str">
        <f t="shared" si="9"/>
        <v/>
      </c>
      <c r="R201" s="25" t="str">
        <f t="shared" si="10"/>
        <v/>
      </c>
    </row>
    <row r="202" spans="1:18" ht="15.75" x14ac:dyDescent="0.25">
      <c r="A202" s="5"/>
      <c r="B202" s="6"/>
      <c r="C202" s="5"/>
      <c r="D202" s="7"/>
      <c r="E202" s="5"/>
      <c r="F202" s="6"/>
      <c r="Q202" s="66" t="str">
        <f t="shared" si="9"/>
        <v/>
      </c>
      <c r="R202" s="30" t="str">
        <f t="shared" si="10"/>
        <v/>
      </c>
    </row>
    <row r="203" spans="1:18" ht="15.75" x14ac:dyDescent="0.25">
      <c r="A203" s="8"/>
      <c r="B203" s="9"/>
      <c r="C203" s="8"/>
      <c r="D203" s="22"/>
      <c r="E203" s="8"/>
      <c r="F203" s="9"/>
      <c r="Q203" s="48" t="str">
        <f t="shared" si="9"/>
        <v/>
      </c>
      <c r="R203" s="25" t="str">
        <f t="shared" si="10"/>
        <v/>
      </c>
    </row>
    <row r="204" spans="1:18" ht="15.75" x14ac:dyDescent="0.25">
      <c r="A204" s="5"/>
      <c r="B204" s="6"/>
      <c r="C204" s="5"/>
      <c r="D204" s="7"/>
      <c r="E204" s="5"/>
      <c r="F204" s="6"/>
      <c r="Q204" s="66" t="str">
        <f t="shared" si="9"/>
        <v/>
      </c>
      <c r="R204" s="30" t="str">
        <f t="shared" si="10"/>
        <v/>
      </c>
    </row>
    <row r="205" spans="1:18" ht="15.75" x14ac:dyDescent="0.25">
      <c r="A205" s="8"/>
      <c r="B205" s="9"/>
      <c r="C205" s="8"/>
      <c r="D205" s="22"/>
      <c r="E205" s="8"/>
      <c r="F205" s="9"/>
      <c r="Q205" s="48" t="str">
        <f t="shared" si="9"/>
        <v/>
      </c>
      <c r="R205" s="25" t="str">
        <f t="shared" si="10"/>
        <v/>
      </c>
    </row>
    <row r="206" spans="1:18" ht="15.75" x14ac:dyDescent="0.25">
      <c r="A206" s="5"/>
      <c r="B206" s="6"/>
      <c r="C206" s="5"/>
      <c r="D206" s="7"/>
      <c r="E206" s="5"/>
      <c r="F206" s="6"/>
      <c r="Q206" s="66" t="str">
        <f t="shared" si="9"/>
        <v/>
      </c>
      <c r="R206" s="30" t="str">
        <f t="shared" si="10"/>
        <v/>
      </c>
    </row>
    <row r="207" spans="1:18" ht="15.75" x14ac:dyDescent="0.25">
      <c r="A207" s="8"/>
      <c r="B207" s="9"/>
      <c r="C207" s="8"/>
      <c r="D207" s="22"/>
      <c r="E207" s="8"/>
      <c r="F207" s="9"/>
      <c r="Q207" s="48" t="str">
        <f t="shared" si="9"/>
        <v/>
      </c>
      <c r="R207" s="25" t="str">
        <f t="shared" si="10"/>
        <v/>
      </c>
    </row>
    <row r="208" spans="1:18" ht="15.75" x14ac:dyDescent="0.25">
      <c r="A208" s="5"/>
      <c r="B208" s="6"/>
      <c r="C208" s="5"/>
      <c r="D208" s="7"/>
      <c r="E208" s="5"/>
      <c r="F208" s="6"/>
      <c r="Q208" s="66" t="str">
        <f t="shared" si="9"/>
        <v/>
      </c>
      <c r="R208" s="30" t="str">
        <f t="shared" si="10"/>
        <v/>
      </c>
    </row>
    <row r="209" spans="1:18" ht="15.75" x14ac:dyDescent="0.25">
      <c r="A209" s="8"/>
      <c r="B209" s="9"/>
      <c r="C209" s="8"/>
      <c r="D209" s="22"/>
      <c r="E209" s="8"/>
      <c r="F209" s="9"/>
      <c r="Q209" s="48" t="str">
        <f t="shared" si="9"/>
        <v/>
      </c>
      <c r="R209" s="25" t="str">
        <f t="shared" si="10"/>
        <v/>
      </c>
    </row>
    <row r="210" spans="1:18" ht="15.75" x14ac:dyDescent="0.25">
      <c r="A210" s="5"/>
      <c r="B210" s="6"/>
      <c r="C210" s="5"/>
      <c r="D210" s="7"/>
      <c r="E210" s="5"/>
      <c r="F210" s="6"/>
      <c r="Q210" s="66" t="str">
        <f t="shared" si="9"/>
        <v/>
      </c>
      <c r="R210" s="30" t="str">
        <f t="shared" si="10"/>
        <v/>
      </c>
    </row>
    <row r="211" spans="1:18" ht="15.75" x14ac:dyDescent="0.25">
      <c r="A211" s="8"/>
      <c r="B211" s="9"/>
      <c r="C211" s="8"/>
      <c r="D211" s="22"/>
      <c r="E211" s="8"/>
      <c r="F211" s="9"/>
      <c r="Q211" s="48" t="str">
        <f t="shared" si="9"/>
        <v/>
      </c>
      <c r="R211" s="25" t="str">
        <f t="shared" si="10"/>
        <v/>
      </c>
    </row>
    <row r="212" spans="1:18" ht="15.75" x14ac:dyDescent="0.25">
      <c r="A212" s="5"/>
      <c r="B212" s="6"/>
      <c r="C212" s="5"/>
      <c r="D212" s="7"/>
      <c r="E212" s="5"/>
      <c r="F212" s="6"/>
      <c r="Q212" s="66" t="str">
        <f t="shared" si="9"/>
        <v/>
      </c>
      <c r="R212" s="30" t="str">
        <f t="shared" si="10"/>
        <v/>
      </c>
    </row>
    <row r="213" spans="1:18" ht="15.75" x14ac:dyDescent="0.25">
      <c r="A213" s="8"/>
      <c r="B213" s="9"/>
      <c r="C213" s="8"/>
      <c r="D213" s="22"/>
      <c r="E213" s="8"/>
      <c r="F213" s="9"/>
      <c r="Q213" s="48" t="str">
        <f t="shared" si="9"/>
        <v/>
      </c>
      <c r="R213" s="25" t="str">
        <f t="shared" si="10"/>
        <v/>
      </c>
    </row>
    <row r="214" spans="1:18" ht="15.75" x14ac:dyDescent="0.25">
      <c r="A214" s="5"/>
      <c r="B214" s="6"/>
      <c r="C214" s="5"/>
      <c r="D214" s="7"/>
      <c r="E214" s="5"/>
      <c r="F214" s="6"/>
      <c r="Q214" s="66" t="str">
        <f t="shared" si="9"/>
        <v/>
      </c>
      <c r="R214" s="30" t="str">
        <f t="shared" si="10"/>
        <v/>
      </c>
    </row>
    <row r="215" spans="1:18" ht="15.75" x14ac:dyDescent="0.25">
      <c r="A215" s="8"/>
      <c r="B215" s="9"/>
      <c r="C215" s="8"/>
      <c r="D215" s="22"/>
      <c r="E215" s="8"/>
      <c r="F215" s="9"/>
      <c r="Q215" s="48" t="str">
        <f t="shared" si="9"/>
        <v/>
      </c>
      <c r="R215" s="25" t="str">
        <f t="shared" si="10"/>
        <v/>
      </c>
    </row>
    <row r="216" spans="1:18" ht="15.75" x14ac:dyDescent="0.25">
      <c r="A216" s="5"/>
      <c r="B216" s="6"/>
      <c r="C216" s="5"/>
      <c r="D216" s="7"/>
      <c r="E216" s="5"/>
      <c r="F216" s="6"/>
      <c r="Q216" s="66" t="str">
        <f t="shared" si="9"/>
        <v/>
      </c>
      <c r="R216" s="30" t="str">
        <f t="shared" si="10"/>
        <v/>
      </c>
    </row>
    <row r="217" spans="1:18" ht="15.75" x14ac:dyDescent="0.25">
      <c r="A217" s="8"/>
      <c r="B217" s="9"/>
      <c r="C217" s="8"/>
      <c r="D217" s="22"/>
      <c r="E217" s="8"/>
      <c r="F217" s="9"/>
      <c r="Q217" s="48" t="str">
        <f t="shared" si="9"/>
        <v/>
      </c>
      <c r="R217" s="25" t="str">
        <f t="shared" si="10"/>
        <v/>
      </c>
    </row>
    <row r="218" spans="1:18" ht="15.75" x14ac:dyDescent="0.25">
      <c r="A218" s="5"/>
      <c r="B218" s="6"/>
      <c r="C218" s="5"/>
      <c r="D218" s="7"/>
      <c r="E218" s="5"/>
      <c r="F218" s="6"/>
      <c r="Q218" s="66" t="str">
        <f t="shared" si="9"/>
        <v/>
      </c>
      <c r="R218" s="30" t="str">
        <f t="shared" si="10"/>
        <v/>
      </c>
    </row>
    <row r="219" spans="1:18" ht="15.75" x14ac:dyDescent="0.25">
      <c r="A219" s="8"/>
      <c r="B219" s="9"/>
      <c r="C219" s="8"/>
      <c r="D219" s="22"/>
      <c r="E219" s="8"/>
      <c r="F219" s="9"/>
      <c r="Q219" s="48" t="str">
        <f t="shared" si="9"/>
        <v/>
      </c>
      <c r="R219" s="25" t="str">
        <f t="shared" si="10"/>
        <v/>
      </c>
    </row>
    <row r="220" spans="1:18" ht="15.75" x14ac:dyDescent="0.25">
      <c r="A220" s="5"/>
      <c r="B220" s="6"/>
      <c r="C220" s="5"/>
      <c r="D220" s="7"/>
      <c r="E220" s="5"/>
      <c r="F220" s="6"/>
      <c r="Q220" s="66" t="str">
        <f t="shared" si="9"/>
        <v/>
      </c>
      <c r="R220" s="30" t="str">
        <f t="shared" si="10"/>
        <v/>
      </c>
    </row>
    <row r="221" spans="1:18" ht="15.75" x14ac:dyDescent="0.25">
      <c r="A221" s="8"/>
      <c r="B221" s="9"/>
      <c r="C221" s="8"/>
      <c r="D221" s="22"/>
      <c r="E221" s="8"/>
      <c r="F221" s="9"/>
      <c r="Q221" s="48" t="str">
        <f t="shared" si="9"/>
        <v/>
      </c>
      <c r="R221" s="25" t="str">
        <f t="shared" si="10"/>
        <v/>
      </c>
    </row>
    <row r="222" spans="1:18" ht="15.75" x14ac:dyDescent="0.25">
      <c r="A222" s="5"/>
      <c r="B222" s="6"/>
      <c r="C222" s="5"/>
      <c r="D222" s="7"/>
      <c r="E222" s="5"/>
      <c r="F222" s="6"/>
      <c r="Q222" s="66" t="str">
        <f t="shared" si="9"/>
        <v/>
      </c>
      <c r="R222" s="30" t="str">
        <f t="shared" si="10"/>
        <v/>
      </c>
    </row>
    <row r="223" spans="1:18" ht="15.75" x14ac:dyDescent="0.25">
      <c r="A223" s="8"/>
      <c r="B223" s="9"/>
      <c r="C223" s="8"/>
      <c r="D223" s="22"/>
      <c r="E223" s="8"/>
      <c r="F223" s="9"/>
      <c r="Q223" s="48" t="str">
        <f t="shared" si="9"/>
        <v/>
      </c>
      <c r="R223" s="25" t="str">
        <f t="shared" si="10"/>
        <v/>
      </c>
    </row>
    <row r="224" spans="1:18" ht="15.75" x14ac:dyDescent="0.25">
      <c r="A224" s="5"/>
      <c r="B224" s="6"/>
      <c r="C224" s="5"/>
      <c r="D224" s="7"/>
      <c r="E224" s="5"/>
      <c r="F224" s="6"/>
      <c r="Q224" s="66" t="str">
        <f t="shared" si="9"/>
        <v/>
      </c>
      <c r="R224" s="30" t="str">
        <f t="shared" si="10"/>
        <v/>
      </c>
    </row>
    <row r="225" spans="1:18" ht="15.75" x14ac:dyDescent="0.25">
      <c r="A225" s="8"/>
      <c r="B225" s="9"/>
      <c r="C225" s="8"/>
      <c r="D225" s="22"/>
      <c r="E225" s="8"/>
      <c r="F225" s="9"/>
      <c r="Q225" s="48" t="str">
        <f t="shared" si="9"/>
        <v/>
      </c>
      <c r="R225" s="25" t="str">
        <f t="shared" si="10"/>
        <v/>
      </c>
    </row>
    <row r="226" spans="1:18" ht="15.75" x14ac:dyDescent="0.25">
      <c r="A226" s="5"/>
      <c r="B226" s="6"/>
      <c r="C226" s="5"/>
      <c r="D226" s="7"/>
      <c r="E226" s="5"/>
      <c r="F226" s="6"/>
      <c r="Q226" s="66" t="str">
        <f t="shared" si="9"/>
        <v/>
      </c>
      <c r="R226" s="30" t="str">
        <f t="shared" si="10"/>
        <v/>
      </c>
    </row>
    <row r="227" spans="1:18" ht="15.75" x14ac:dyDescent="0.25">
      <c r="A227" s="8"/>
      <c r="B227" s="9"/>
      <c r="C227" s="8"/>
      <c r="D227" s="22"/>
      <c r="E227" s="8"/>
      <c r="F227" s="9"/>
      <c r="Q227" s="48" t="str">
        <f t="shared" si="9"/>
        <v/>
      </c>
      <c r="R227" s="25" t="str">
        <f t="shared" si="10"/>
        <v/>
      </c>
    </row>
    <row r="228" spans="1:18" ht="15.75" x14ac:dyDescent="0.25">
      <c r="A228" s="5"/>
      <c r="B228" s="6"/>
      <c r="C228" s="5"/>
      <c r="D228" s="7"/>
      <c r="E228" s="5"/>
      <c r="F228" s="6"/>
      <c r="Q228" s="66" t="str">
        <f t="shared" si="9"/>
        <v/>
      </c>
      <c r="R228" s="30" t="str">
        <f t="shared" si="10"/>
        <v/>
      </c>
    </row>
    <row r="229" spans="1:18" ht="15.75" x14ac:dyDescent="0.25">
      <c r="A229" s="8"/>
      <c r="B229" s="9"/>
      <c r="C229" s="8"/>
      <c r="D229" s="22"/>
      <c r="E229" s="8"/>
      <c r="F229" s="9"/>
      <c r="Q229" s="48" t="str">
        <f t="shared" si="9"/>
        <v/>
      </c>
      <c r="R229" s="25" t="str">
        <f t="shared" si="10"/>
        <v/>
      </c>
    </row>
    <row r="230" spans="1:18" ht="15.75" x14ac:dyDescent="0.25">
      <c r="A230" s="5"/>
      <c r="B230" s="6"/>
      <c r="C230" s="5"/>
      <c r="D230" s="7"/>
      <c r="E230" s="5"/>
      <c r="F230" s="6"/>
      <c r="Q230" s="66" t="str">
        <f t="shared" si="9"/>
        <v/>
      </c>
      <c r="R230" s="30" t="str">
        <f t="shared" si="10"/>
        <v/>
      </c>
    </row>
    <row r="231" spans="1:18" ht="15.75" x14ac:dyDescent="0.25">
      <c r="A231" s="8"/>
      <c r="B231" s="9"/>
      <c r="C231" s="8"/>
      <c r="D231" s="22"/>
      <c r="E231" s="8"/>
      <c r="F231" s="9"/>
      <c r="Q231" s="48" t="str">
        <f t="shared" si="9"/>
        <v/>
      </c>
      <c r="R231" s="25" t="str">
        <f t="shared" si="10"/>
        <v/>
      </c>
    </row>
    <row r="232" spans="1:18" ht="15.75" x14ac:dyDescent="0.25">
      <c r="A232" s="5"/>
      <c r="B232" s="6"/>
      <c r="C232" s="5"/>
      <c r="D232" s="7"/>
      <c r="E232" s="5"/>
      <c r="F232" s="6"/>
      <c r="Q232" s="66" t="str">
        <f t="shared" si="9"/>
        <v/>
      </c>
      <c r="R232" s="30" t="str">
        <f t="shared" si="10"/>
        <v/>
      </c>
    </row>
    <row r="233" spans="1:18" ht="15.75" x14ac:dyDescent="0.25">
      <c r="A233" s="8"/>
      <c r="B233" s="9"/>
      <c r="C233" s="8"/>
      <c r="D233" s="22"/>
      <c r="E233" s="8"/>
      <c r="F233" s="9"/>
      <c r="Q233" s="48" t="str">
        <f t="shared" si="9"/>
        <v/>
      </c>
      <c r="R233" s="25" t="str">
        <f t="shared" si="10"/>
        <v/>
      </c>
    </row>
    <row r="234" spans="1:18" ht="15.75" x14ac:dyDescent="0.25">
      <c r="A234" s="5"/>
      <c r="B234" s="6"/>
      <c r="C234" s="5"/>
      <c r="D234" s="7"/>
      <c r="E234" s="5"/>
      <c r="F234" s="6"/>
      <c r="Q234" s="66" t="str">
        <f t="shared" si="9"/>
        <v/>
      </c>
      <c r="R234" s="30" t="str">
        <f t="shared" si="10"/>
        <v/>
      </c>
    </row>
    <row r="235" spans="1:18" ht="15.75" x14ac:dyDescent="0.25">
      <c r="A235" s="8"/>
      <c r="B235" s="9"/>
      <c r="C235" s="8"/>
      <c r="D235" s="22"/>
      <c r="E235" s="8"/>
      <c r="F235" s="9"/>
      <c r="Q235" s="48" t="str">
        <f t="shared" si="9"/>
        <v/>
      </c>
      <c r="R235" s="25" t="str">
        <f t="shared" si="10"/>
        <v/>
      </c>
    </row>
    <row r="236" spans="1:18" ht="15.75" x14ac:dyDescent="0.25">
      <c r="A236" s="5"/>
      <c r="B236" s="6"/>
      <c r="C236" s="5"/>
      <c r="D236" s="7"/>
      <c r="E236" s="5"/>
      <c r="F236" s="6"/>
      <c r="Q236" s="66" t="str">
        <f t="shared" si="9"/>
        <v/>
      </c>
      <c r="R236" s="30" t="str">
        <f t="shared" si="10"/>
        <v/>
      </c>
    </row>
    <row r="237" spans="1:18" ht="15.75" x14ac:dyDescent="0.25">
      <c r="A237" s="8"/>
      <c r="B237" s="9"/>
      <c r="C237" s="8"/>
      <c r="D237" s="22"/>
      <c r="E237" s="8"/>
      <c r="F237" s="9"/>
      <c r="Q237" s="48" t="str">
        <f t="shared" si="9"/>
        <v/>
      </c>
      <c r="R237" s="25" t="str">
        <f t="shared" si="10"/>
        <v/>
      </c>
    </row>
    <row r="238" spans="1:18" ht="15.75" x14ac:dyDescent="0.25">
      <c r="A238" s="5"/>
      <c r="B238" s="6"/>
      <c r="C238" s="5"/>
      <c r="D238" s="7"/>
      <c r="E238" s="5"/>
      <c r="F238" s="6"/>
      <c r="Q238" s="66" t="str">
        <f t="shared" si="9"/>
        <v/>
      </c>
      <c r="R238" s="30" t="str">
        <f t="shared" si="10"/>
        <v/>
      </c>
    </row>
    <row r="239" spans="1:18" ht="15.75" x14ac:dyDescent="0.25">
      <c r="A239" s="8"/>
      <c r="B239" s="9"/>
      <c r="C239" s="8"/>
      <c r="D239" s="22"/>
      <c r="E239" s="8"/>
      <c r="F239" s="9"/>
      <c r="Q239" s="48" t="str">
        <f t="shared" si="9"/>
        <v/>
      </c>
      <c r="R239" s="25" t="str">
        <f t="shared" si="10"/>
        <v/>
      </c>
    </row>
    <row r="240" spans="1:18" ht="15.75" x14ac:dyDescent="0.25">
      <c r="A240" s="5"/>
      <c r="B240" s="6"/>
      <c r="C240" s="5"/>
      <c r="D240" s="7"/>
      <c r="E240" s="5"/>
      <c r="F240" s="6"/>
      <c r="Q240" s="66" t="str">
        <f t="shared" si="9"/>
        <v/>
      </c>
      <c r="R240" s="30" t="str">
        <f t="shared" si="10"/>
        <v/>
      </c>
    </row>
    <row r="241" spans="1:18" ht="15.75" x14ac:dyDescent="0.25">
      <c r="A241" s="8"/>
      <c r="B241" s="9"/>
      <c r="C241" s="8"/>
      <c r="D241" s="22"/>
      <c r="E241" s="8"/>
      <c r="F241" s="9"/>
      <c r="Q241" s="48" t="str">
        <f t="shared" si="9"/>
        <v/>
      </c>
      <c r="R241" s="25" t="str">
        <f t="shared" si="10"/>
        <v/>
      </c>
    </row>
    <row r="242" spans="1:18" ht="15.75" x14ac:dyDescent="0.25">
      <c r="A242" s="5"/>
      <c r="B242" s="6"/>
      <c r="C242" s="5"/>
      <c r="D242" s="7"/>
      <c r="E242" s="5"/>
      <c r="F242" s="6"/>
      <c r="Q242" s="66" t="str">
        <f t="shared" si="9"/>
        <v/>
      </c>
      <c r="R242" s="30" t="str">
        <f t="shared" si="10"/>
        <v/>
      </c>
    </row>
    <row r="243" spans="1:18" ht="15.75" x14ac:dyDescent="0.25">
      <c r="A243" s="8"/>
      <c r="B243" s="9"/>
      <c r="C243" s="8"/>
      <c r="D243" s="22"/>
      <c r="E243" s="8"/>
      <c r="F243" s="9"/>
      <c r="Q243" s="48" t="str">
        <f t="shared" si="9"/>
        <v/>
      </c>
      <c r="R243" s="25" t="str">
        <f t="shared" si="10"/>
        <v/>
      </c>
    </row>
    <row r="244" spans="1:18" ht="15.75" x14ac:dyDescent="0.25">
      <c r="A244" s="5"/>
      <c r="B244" s="6"/>
      <c r="C244" s="5"/>
      <c r="D244" s="7"/>
      <c r="E244" s="5"/>
      <c r="F244" s="6"/>
      <c r="Q244" s="66" t="str">
        <f t="shared" si="9"/>
        <v/>
      </c>
      <c r="R244" s="30" t="str">
        <f t="shared" si="10"/>
        <v/>
      </c>
    </row>
    <row r="245" spans="1:18" ht="15.75" x14ac:dyDescent="0.25">
      <c r="A245" s="8"/>
      <c r="B245" s="9"/>
      <c r="C245" s="8"/>
      <c r="D245" s="22"/>
      <c r="E245" s="8"/>
      <c r="F245" s="9"/>
      <c r="Q245" s="48" t="str">
        <f t="shared" si="9"/>
        <v/>
      </c>
      <c r="R245" s="25" t="str">
        <f t="shared" si="10"/>
        <v/>
      </c>
    </row>
    <row r="246" spans="1:18" ht="15.75" x14ac:dyDescent="0.25">
      <c r="A246" s="5"/>
      <c r="B246" s="6"/>
      <c r="C246" s="5"/>
      <c r="D246" s="7"/>
      <c r="E246" s="5"/>
      <c r="F246" s="6"/>
      <c r="Q246" s="66" t="str">
        <f t="shared" si="9"/>
        <v/>
      </c>
      <c r="R246" s="30" t="str">
        <f t="shared" si="10"/>
        <v/>
      </c>
    </row>
    <row r="247" spans="1:18" ht="15.75" x14ac:dyDescent="0.25">
      <c r="A247" s="8"/>
      <c r="B247" s="9"/>
      <c r="C247" s="8"/>
      <c r="D247" s="22"/>
      <c r="E247" s="8"/>
      <c r="F247" s="9"/>
      <c r="Q247" s="48" t="str">
        <f t="shared" si="9"/>
        <v/>
      </c>
      <c r="R247" s="25" t="str">
        <f t="shared" si="10"/>
        <v/>
      </c>
    </row>
    <row r="248" spans="1:18" ht="15.75" x14ac:dyDescent="0.25">
      <c r="A248" s="5"/>
      <c r="B248" s="6"/>
      <c r="C248" s="5"/>
      <c r="D248" s="7"/>
      <c r="E248" s="5"/>
      <c r="F248" s="6"/>
      <c r="Q248" s="66" t="str">
        <f t="shared" si="9"/>
        <v/>
      </c>
      <c r="R248" s="30" t="str">
        <f t="shared" si="10"/>
        <v/>
      </c>
    </row>
    <row r="249" spans="1:18" ht="15.75" x14ac:dyDescent="0.25">
      <c r="A249" s="8"/>
      <c r="B249" s="9"/>
      <c r="C249" s="8"/>
      <c r="D249" s="22"/>
      <c r="E249" s="8"/>
      <c r="F249" s="9"/>
      <c r="Q249" s="48" t="str">
        <f t="shared" si="9"/>
        <v/>
      </c>
      <c r="R249" s="25" t="str">
        <f t="shared" si="10"/>
        <v/>
      </c>
    </row>
    <row r="250" spans="1:18" ht="15.75" x14ac:dyDescent="0.25">
      <c r="A250" s="5"/>
      <c r="B250" s="6"/>
      <c r="C250" s="5"/>
      <c r="D250" s="7"/>
      <c r="E250" s="5"/>
      <c r="F250" s="6"/>
      <c r="Q250" s="66" t="str">
        <f t="shared" si="9"/>
        <v/>
      </c>
      <c r="R250" s="30" t="str">
        <f t="shared" si="10"/>
        <v/>
      </c>
    </row>
    <row r="251" spans="1:18" ht="15.75" x14ac:dyDescent="0.25">
      <c r="A251" s="8"/>
      <c r="B251" s="9"/>
      <c r="C251" s="8"/>
      <c r="D251" s="22"/>
      <c r="E251" s="8"/>
      <c r="F251" s="9"/>
      <c r="Q251" s="48" t="str">
        <f t="shared" si="9"/>
        <v/>
      </c>
      <c r="R251" s="25" t="str">
        <f t="shared" si="10"/>
        <v/>
      </c>
    </row>
    <row r="252" spans="1:18" ht="15.75" x14ac:dyDescent="0.25">
      <c r="A252" s="5"/>
      <c r="B252" s="6"/>
      <c r="C252" s="5"/>
      <c r="D252" s="7"/>
      <c r="E252" s="5"/>
      <c r="F252" s="6"/>
      <c r="Q252" s="66" t="str">
        <f t="shared" si="9"/>
        <v/>
      </c>
      <c r="R252" s="30" t="str">
        <f t="shared" si="10"/>
        <v/>
      </c>
    </row>
    <row r="253" spans="1:18" ht="15.75" x14ac:dyDescent="0.25">
      <c r="A253" s="8"/>
      <c r="B253" s="9"/>
      <c r="C253" s="8"/>
      <c r="D253" s="22"/>
      <c r="E253" s="8"/>
      <c r="F253" s="9"/>
      <c r="Q253" s="48" t="str">
        <f t="shared" si="9"/>
        <v/>
      </c>
      <c r="R253" s="25" t="str">
        <f t="shared" si="10"/>
        <v/>
      </c>
    </row>
    <row r="254" spans="1:18" ht="15.75" x14ac:dyDescent="0.25">
      <c r="A254" s="5"/>
      <c r="B254" s="6"/>
      <c r="C254" s="5"/>
      <c r="D254" s="7"/>
      <c r="E254" s="5"/>
      <c r="F254" s="6"/>
      <c r="Q254" s="66" t="str">
        <f t="shared" si="9"/>
        <v/>
      </c>
      <c r="R254" s="30" t="str">
        <f t="shared" si="10"/>
        <v/>
      </c>
    </row>
    <row r="255" spans="1:18" ht="15.75" x14ac:dyDescent="0.25">
      <c r="A255" s="8"/>
      <c r="B255" s="9"/>
      <c r="C255" s="8"/>
      <c r="D255" s="22"/>
      <c r="E255" s="8"/>
      <c r="F255" s="9"/>
      <c r="Q255" s="48" t="str">
        <f t="shared" si="9"/>
        <v/>
      </c>
      <c r="R255" s="25" t="str">
        <f t="shared" si="10"/>
        <v/>
      </c>
    </row>
    <row r="256" spans="1:18" ht="15.75" x14ac:dyDescent="0.25">
      <c r="A256" s="5"/>
      <c r="B256" s="6"/>
      <c r="C256" s="5"/>
      <c r="D256" s="7"/>
      <c r="E256" s="5"/>
      <c r="F256" s="6"/>
      <c r="Q256" s="66" t="str">
        <f t="shared" si="9"/>
        <v/>
      </c>
      <c r="R256" s="30" t="str">
        <f t="shared" si="10"/>
        <v/>
      </c>
    </row>
    <row r="257" spans="1:18" ht="15.75" x14ac:dyDescent="0.25">
      <c r="A257" s="8"/>
      <c r="B257" s="9"/>
      <c r="C257" s="8"/>
      <c r="D257" s="22"/>
      <c r="E257" s="8"/>
      <c r="F257" s="9"/>
      <c r="Q257" s="48" t="str">
        <f t="shared" si="9"/>
        <v/>
      </c>
      <c r="R257" s="25" t="str">
        <f t="shared" si="10"/>
        <v/>
      </c>
    </row>
    <row r="258" spans="1:18" ht="15.75" x14ac:dyDescent="0.25">
      <c r="A258" s="5"/>
      <c r="B258" s="6"/>
      <c r="C258" s="5"/>
      <c r="D258" s="7"/>
      <c r="E258" s="5"/>
      <c r="F258" s="6"/>
      <c r="Q258" s="66" t="str">
        <f t="shared" si="9"/>
        <v/>
      </c>
      <c r="R258" s="30" t="str">
        <f t="shared" si="10"/>
        <v/>
      </c>
    </row>
    <row r="259" spans="1:18" ht="15.75" x14ac:dyDescent="0.25">
      <c r="A259" s="8"/>
      <c r="B259" s="9"/>
      <c r="C259" s="8"/>
      <c r="D259" s="22"/>
      <c r="E259" s="8"/>
      <c r="F259" s="9"/>
      <c r="Q259" s="48" t="str">
        <f t="shared" ref="Q259:Q322" si="11">IF(A259=$K$2,D259/60*$N$2,IF(A259=$K$3,D259/60*$N$3,IF(A259=$K$4,D259/60*$N$4,IF(A259=$K$5,D259/60*$N$5,IF(A259=$K$6,D259/60*$N$6,IF(A259=$K$7,D259/60*$N$7,IF(A259=$K$8,D259/60*$N$8,"")))))))</f>
        <v/>
      </c>
      <c r="R259" s="25" t="str">
        <f t="shared" ref="R259:R322" si="12">IF(D259="","",D259/$S$2)</f>
        <v/>
      </c>
    </row>
    <row r="260" spans="1:18" ht="15.75" x14ac:dyDescent="0.25">
      <c r="A260" s="5"/>
      <c r="B260" s="6"/>
      <c r="C260" s="5"/>
      <c r="D260" s="7"/>
      <c r="E260" s="5"/>
      <c r="F260" s="6"/>
      <c r="Q260" s="66" t="str">
        <f t="shared" si="11"/>
        <v/>
      </c>
      <c r="R260" s="30" t="str">
        <f t="shared" si="12"/>
        <v/>
      </c>
    </row>
    <row r="261" spans="1:18" ht="15.75" x14ac:dyDescent="0.25">
      <c r="A261" s="8"/>
      <c r="B261" s="9"/>
      <c r="C261" s="8"/>
      <c r="D261" s="22"/>
      <c r="E261" s="8"/>
      <c r="F261" s="9"/>
      <c r="Q261" s="48" t="str">
        <f t="shared" si="11"/>
        <v/>
      </c>
      <c r="R261" s="25" t="str">
        <f t="shared" si="12"/>
        <v/>
      </c>
    </row>
    <row r="262" spans="1:18" ht="15.75" x14ac:dyDescent="0.25">
      <c r="A262" s="5"/>
      <c r="B262" s="6"/>
      <c r="C262" s="5"/>
      <c r="D262" s="7"/>
      <c r="E262" s="5"/>
      <c r="F262" s="6"/>
      <c r="Q262" s="66" t="str">
        <f t="shared" si="11"/>
        <v/>
      </c>
      <c r="R262" s="30" t="str">
        <f t="shared" si="12"/>
        <v/>
      </c>
    </row>
    <row r="263" spans="1:18" ht="15.75" x14ac:dyDescent="0.25">
      <c r="A263" s="8"/>
      <c r="B263" s="9"/>
      <c r="C263" s="8"/>
      <c r="D263" s="22"/>
      <c r="E263" s="8"/>
      <c r="F263" s="9"/>
      <c r="Q263" s="48" t="str">
        <f t="shared" si="11"/>
        <v/>
      </c>
      <c r="R263" s="25" t="str">
        <f t="shared" si="12"/>
        <v/>
      </c>
    </row>
    <row r="264" spans="1:18" ht="15.75" x14ac:dyDescent="0.25">
      <c r="A264" s="5"/>
      <c r="B264" s="6"/>
      <c r="C264" s="5"/>
      <c r="D264" s="7"/>
      <c r="E264" s="5"/>
      <c r="F264" s="6"/>
      <c r="Q264" s="66" t="str">
        <f t="shared" si="11"/>
        <v/>
      </c>
      <c r="R264" s="30" t="str">
        <f t="shared" si="12"/>
        <v/>
      </c>
    </row>
    <row r="265" spans="1:18" ht="15.75" x14ac:dyDescent="0.25">
      <c r="A265" s="8"/>
      <c r="B265" s="9"/>
      <c r="C265" s="8"/>
      <c r="D265" s="22"/>
      <c r="E265" s="8"/>
      <c r="F265" s="9"/>
      <c r="Q265" s="48" t="str">
        <f t="shared" si="11"/>
        <v/>
      </c>
      <c r="R265" s="25" t="str">
        <f t="shared" si="12"/>
        <v/>
      </c>
    </row>
    <row r="266" spans="1:18" ht="15.75" x14ac:dyDescent="0.25">
      <c r="A266" s="5"/>
      <c r="B266" s="6"/>
      <c r="C266" s="5"/>
      <c r="D266" s="7"/>
      <c r="E266" s="5"/>
      <c r="F266" s="6"/>
      <c r="Q266" s="66" t="str">
        <f t="shared" si="11"/>
        <v/>
      </c>
      <c r="R266" s="30" t="str">
        <f t="shared" si="12"/>
        <v/>
      </c>
    </row>
    <row r="267" spans="1:18" ht="15.75" x14ac:dyDescent="0.25">
      <c r="A267" s="8"/>
      <c r="B267" s="9"/>
      <c r="C267" s="8"/>
      <c r="D267" s="22"/>
      <c r="E267" s="8"/>
      <c r="F267" s="9"/>
      <c r="Q267" s="48" t="str">
        <f t="shared" si="11"/>
        <v/>
      </c>
      <c r="R267" s="25" t="str">
        <f t="shared" si="12"/>
        <v/>
      </c>
    </row>
    <row r="268" spans="1:18" ht="15.75" x14ac:dyDescent="0.25">
      <c r="A268" s="5"/>
      <c r="B268" s="6"/>
      <c r="C268" s="5"/>
      <c r="D268" s="7"/>
      <c r="E268" s="5"/>
      <c r="F268" s="6"/>
      <c r="Q268" s="66" t="str">
        <f t="shared" si="11"/>
        <v/>
      </c>
      <c r="R268" s="30" t="str">
        <f t="shared" si="12"/>
        <v/>
      </c>
    </row>
    <row r="269" spans="1:18" ht="15.75" x14ac:dyDescent="0.25">
      <c r="A269" s="8"/>
      <c r="B269" s="9"/>
      <c r="C269" s="8"/>
      <c r="D269" s="22"/>
      <c r="E269" s="8"/>
      <c r="F269" s="9"/>
      <c r="Q269" s="48" t="str">
        <f t="shared" si="11"/>
        <v/>
      </c>
      <c r="R269" s="25" t="str">
        <f t="shared" si="12"/>
        <v/>
      </c>
    </row>
    <row r="270" spans="1:18" ht="15.75" x14ac:dyDescent="0.25">
      <c r="A270" s="5"/>
      <c r="B270" s="6"/>
      <c r="C270" s="5"/>
      <c r="D270" s="7"/>
      <c r="E270" s="5"/>
      <c r="F270" s="6"/>
      <c r="Q270" s="66" t="str">
        <f t="shared" si="11"/>
        <v/>
      </c>
      <c r="R270" s="30" t="str">
        <f t="shared" si="12"/>
        <v/>
      </c>
    </row>
    <row r="271" spans="1:18" ht="15.75" x14ac:dyDescent="0.25">
      <c r="A271" s="8"/>
      <c r="B271" s="9"/>
      <c r="C271" s="8"/>
      <c r="D271" s="22"/>
      <c r="E271" s="8"/>
      <c r="F271" s="9"/>
      <c r="Q271" s="48" t="str">
        <f t="shared" si="11"/>
        <v/>
      </c>
      <c r="R271" s="25" t="str">
        <f t="shared" si="12"/>
        <v/>
      </c>
    </row>
    <row r="272" spans="1:18" ht="15.75" x14ac:dyDescent="0.25">
      <c r="A272" s="5"/>
      <c r="B272" s="6"/>
      <c r="C272" s="5"/>
      <c r="D272" s="7"/>
      <c r="E272" s="5"/>
      <c r="F272" s="6"/>
      <c r="Q272" s="66" t="str">
        <f t="shared" si="11"/>
        <v/>
      </c>
      <c r="R272" s="30" t="str">
        <f t="shared" si="12"/>
        <v/>
      </c>
    </row>
    <row r="273" spans="1:18" ht="15.75" x14ac:dyDescent="0.25">
      <c r="A273" s="8"/>
      <c r="B273" s="9"/>
      <c r="C273" s="8"/>
      <c r="D273" s="22"/>
      <c r="E273" s="8"/>
      <c r="F273" s="9"/>
      <c r="Q273" s="48" t="str">
        <f t="shared" si="11"/>
        <v/>
      </c>
      <c r="R273" s="25" t="str">
        <f t="shared" si="12"/>
        <v/>
      </c>
    </row>
    <row r="274" spans="1:18" ht="15.75" x14ac:dyDescent="0.25">
      <c r="A274" s="5"/>
      <c r="B274" s="6"/>
      <c r="C274" s="5"/>
      <c r="D274" s="7"/>
      <c r="E274" s="5"/>
      <c r="F274" s="6"/>
      <c r="Q274" s="66" t="str">
        <f t="shared" si="11"/>
        <v/>
      </c>
      <c r="R274" s="30" t="str">
        <f t="shared" si="12"/>
        <v/>
      </c>
    </row>
    <row r="275" spans="1:18" ht="15.75" x14ac:dyDescent="0.25">
      <c r="A275" s="8"/>
      <c r="B275" s="9"/>
      <c r="C275" s="8"/>
      <c r="D275" s="22"/>
      <c r="E275" s="8"/>
      <c r="F275" s="9"/>
      <c r="Q275" s="48" t="str">
        <f t="shared" si="11"/>
        <v/>
      </c>
      <c r="R275" s="25" t="str">
        <f t="shared" si="12"/>
        <v/>
      </c>
    </row>
    <row r="276" spans="1:18" ht="15.75" x14ac:dyDescent="0.25">
      <c r="A276" s="5"/>
      <c r="B276" s="6"/>
      <c r="C276" s="5"/>
      <c r="D276" s="7"/>
      <c r="E276" s="5"/>
      <c r="F276" s="6"/>
      <c r="Q276" s="66" t="str">
        <f t="shared" si="11"/>
        <v/>
      </c>
      <c r="R276" s="30" t="str">
        <f t="shared" si="12"/>
        <v/>
      </c>
    </row>
    <row r="277" spans="1:18" ht="15.75" x14ac:dyDescent="0.25">
      <c r="A277" s="8"/>
      <c r="B277" s="9"/>
      <c r="C277" s="8"/>
      <c r="D277" s="22"/>
      <c r="E277" s="8"/>
      <c r="F277" s="9"/>
      <c r="Q277" s="48" t="str">
        <f t="shared" si="11"/>
        <v/>
      </c>
      <c r="R277" s="25" t="str">
        <f t="shared" si="12"/>
        <v/>
      </c>
    </row>
    <row r="278" spans="1:18" ht="15.75" x14ac:dyDescent="0.25">
      <c r="A278" s="5"/>
      <c r="B278" s="6"/>
      <c r="C278" s="5"/>
      <c r="D278" s="7"/>
      <c r="E278" s="5"/>
      <c r="F278" s="6"/>
      <c r="Q278" s="66" t="str">
        <f t="shared" si="11"/>
        <v/>
      </c>
      <c r="R278" s="30" t="str">
        <f t="shared" si="12"/>
        <v/>
      </c>
    </row>
    <row r="279" spans="1:18" ht="15.75" x14ac:dyDescent="0.25">
      <c r="A279" s="8"/>
      <c r="B279" s="9"/>
      <c r="C279" s="8"/>
      <c r="D279" s="22"/>
      <c r="E279" s="8"/>
      <c r="F279" s="9"/>
      <c r="Q279" s="48" t="str">
        <f t="shared" si="11"/>
        <v/>
      </c>
      <c r="R279" s="25" t="str">
        <f t="shared" si="12"/>
        <v/>
      </c>
    </row>
    <row r="280" spans="1:18" ht="15.75" x14ac:dyDescent="0.25">
      <c r="A280" s="5"/>
      <c r="B280" s="6"/>
      <c r="C280" s="5"/>
      <c r="D280" s="7"/>
      <c r="E280" s="5"/>
      <c r="F280" s="6"/>
      <c r="Q280" s="66" t="str">
        <f t="shared" si="11"/>
        <v/>
      </c>
      <c r="R280" s="30" t="str">
        <f t="shared" si="12"/>
        <v/>
      </c>
    </row>
    <row r="281" spans="1:18" ht="15.75" x14ac:dyDescent="0.25">
      <c r="A281" s="8"/>
      <c r="B281" s="9"/>
      <c r="C281" s="8"/>
      <c r="D281" s="22"/>
      <c r="E281" s="8"/>
      <c r="F281" s="9"/>
      <c r="Q281" s="48" t="str">
        <f t="shared" si="11"/>
        <v/>
      </c>
      <c r="R281" s="25" t="str">
        <f t="shared" si="12"/>
        <v/>
      </c>
    </row>
    <row r="282" spans="1:18" ht="15.75" x14ac:dyDescent="0.25">
      <c r="A282" s="5"/>
      <c r="B282" s="6"/>
      <c r="C282" s="5"/>
      <c r="D282" s="7"/>
      <c r="E282" s="5"/>
      <c r="F282" s="6"/>
      <c r="Q282" s="66" t="str">
        <f t="shared" si="11"/>
        <v/>
      </c>
      <c r="R282" s="30" t="str">
        <f t="shared" si="12"/>
        <v/>
      </c>
    </row>
    <row r="283" spans="1:18" ht="15.75" x14ac:dyDescent="0.25">
      <c r="A283" s="8"/>
      <c r="B283" s="9"/>
      <c r="C283" s="8"/>
      <c r="D283" s="22"/>
      <c r="E283" s="8"/>
      <c r="F283" s="9"/>
      <c r="Q283" s="48" t="str">
        <f t="shared" si="11"/>
        <v/>
      </c>
      <c r="R283" s="25" t="str">
        <f t="shared" si="12"/>
        <v/>
      </c>
    </row>
    <row r="284" spans="1:18" ht="15.75" x14ac:dyDescent="0.25">
      <c r="A284" s="5"/>
      <c r="B284" s="6"/>
      <c r="C284" s="5"/>
      <c r="D284" s="7"/>
      <c r="E284" s="5"/>
      <c r="F284" s="6"/>
      <c r="Q284" s="66" t="str">
        <f t="shared" si="11"/>
        <v/>
      </c>
      <c r="R284" s="30" t="str">
        <f t="shared" si="12"/>
        <v/>
      </c>
    </row>
    <row r="285" spans="1:18" ht="15.75" x14ac:dyDescent="0.25">
      <c r="A285" s="8"/>
      <c r="B285" s="9"/>
      <c r="C285" s="8"/>
      <c r="D285" s="22"/>
      <c r="E285" s="8"/>
      <c r="F285" s="9"/>
      <c r="Q285" s="48" t="str">
        <f t="shared" si="11"/>
        <v/>
      </c>
      <c r="R285" s="25" t="str">
        <f t="shared" si="12"/>
        <v/>
      </c>
    </row>
    <row r="286" spans="1:18" ht="15.75" x14ac:dyDescent="0.25">
      <c r="A286" s="5"/>
      <c r="B286" s="6"/>
      <c r="C286" s="5"/>
      <c r="D286" s="7"/>
      <c r="E286" s="5"/>
      <c r="F286" s="6"/>
      <c r="Q286" s="66" t="str">
        <f t="shared" si="11"/>
        <v/>
      </c>
      <c r="R286" s="30" t="str">
        <f t="shared" si="12"/>
        <v/>
      </c>
    </row>
    <row r="287" spans="1:18" ht="15.75" x14ac:dyDescent="0.25">
      <c r="A287" s="8"/>
      <c r="B287" s="9"/>
      <c r="C287" s="8"/>
      <c r="D287" s="22"/>
      <c r="E287" s="8"/>
      <c r="F287" s="9"/>
      <c r="Q287" s="48" t="str">
        <f t="shared" si="11"/>
        <v/>
      </c>
      <c r="R287" s="25" t="str">
        <f t="shared" si="12"/>
        <v/>
      </c>
    </row>
    <row r="288" spans="1:18" ht="15.75" x14ac:dyDescent="0.25">
      <c r="A288" s="5"/>
      <c r="B288" s="6"/>
      <c r="C288" s="5"/>
      <c r="D288" s="7"/>
      <c r="E288" s="5"/>
      <c r="F288" s="6"/>
      <c r="Q288" s="66" t="str">
        <f t="shared" si="11"/>
        <v/>
      </c>
      <c r="R288" s="30" t="str">
        <f t="shared" si="12"/>
        <v/>
      </c>
    </row>
    <row r="289" spans="1:18" ht="15.75" x14ac:dyDescent="0.25">
      <c r="A289" s="8"/>
      <c r="B289" s="9"/>
      <c r="C289" s="8"/>
      <c r="D289" s="22"/>
      <c r="E289" s="8"/>
      <c r="F289" s="9"/>
      <c r="Q289" s="48" t="str">
        <f t="shared" si="11"/>
        <v/>
      </c>
      <c r="R289" s="25" t="str">
        <f t="shared" si="12"/>
        <v/>
      </c>
    </row>
    <row r="290" spans="1:18" ht="15.75" x14ac:dyDescent="0.25">
      <c r="A290" s="5"/>
      <c r="B290" s="6"/>
      <c r="C290" s="5"/>
      <c r="D290" s="7"/>
      <c r="E290" s="5"/>
      <c r="F290" s="6"/>
      <c r="Q290" s="66" t="str">
        <f t="shared" si="11"/>
        <v/>
      </c>
      <c r="R290" s="30" t="str">
        <f t="shared" si="12"/>
        <v/>
      </c>
    </row>
    <row r="291" spans="1:18" ht="15.75" x14ac:dyDescent="0.25">
      <c r="A291" s="8"/>
      <c r="B291" s="9"/>
      <c r="C291" s="8"/>
      <c r="D291" s="22"/>
      <c r="E291" s="8"/>
      <c r="F291" s="9"/>
      <c r="Q291" s="48" t="str">
        <f t="shared" si="11"/>
        <v/>
      </c>
      <c r="R291" s="25" t="str">
        <f t="shared" si="12"/>
        <v/>
      </c>
    </row>
    <row r="292" spans="1:18" ht="15.75" x14ac:dyDescent="0.25">
      <c r="A292" s="5"/>
      <c r="B292" s="6"/>
      <c r="C292" s="5"/>
      <c r="D292" s="7"/>
      <c r="E292" s="5"/>
      <c r="F292" s="6"/>
      <c r="Q292" s="66" t="str">
        <f t="shared" si="11"/>
        <v/>
      </c>
      <c r="R292" s="30" t="str">
        <f t="shared" si="12"/>
        <v/>
      </c>
    </row>
    <row r="293" spans="1:18" ht="15.75" x14ac:dyDescent="0.25">
      <c r="A293" s="8"/>
      <c r="B293" s="9"/>
      <c r="C293" s="8"/>
      <c r="D293" s="22"/>
      <c r="E293" s="8"/>
      <c r="F293" s="9"/>
      <c r="Q293" s="48" t="str">
        <f t="shared" si="11"/>
        <v/>
      </c>
      <c r="R293" s="25" t="str">
        <f t="shared" si="12"/>
        <v/>
      </c>
    </row>
    <row r="294" spans="1:18" ht="15.75" x14ac:dyDescent="0.25">
      <c r="A294" s="5"/>
      <c r="B294" s="6"/>
      <c r="C294" s="5"/>
      <c r="D294" s="7"/>
      <c r="E294" s="5"/>
      <c r="F294" s="6"/>
      <c r="Q294" s="66" t="str">
        <f t="shared" si="11"/>
        <v/>
      </c>
      <c r="R294" s="30" t="str">
        <f t="shared" si="12"/>
        <v/>
      </c>
    </row>
    <row r="295" spans="1:18" ht="15.75" x14ac:dyDescent="0.25">
      <c r="A295" s="8"/>
      <c r="B295" s="9"/>
      <c r="C295" s="8"/>
      <c r="D295" s="22"/>
      <c r="E295" s="8"/>
      <c r="F295" s="9"/>
      <c r="Q295" s="48" t="str">
        <f t="shared" si="11"/>
        <v/>
      </c>
      <c r="R295" s="25" t="str">
        <f t="shared" si="12"/>
        <v/>
      </c>
    </row>
    <row r="296" spans="1:18" ht="15.75" x14ac:dyDescent="0.25">
      <c r="A296" s="5"/>
      <c r="B296" s="6"/>
      <c r="C296" s="5"/>
      <c r="D296" s="7"/>
      <c r="E296" s="5"/>
      <c r="F296" s="6"/>
      <c r="Q296" s="66" t="str">
        <f t="shared" si="11"/>
        <v/>
      </c>
      <c r="R296" s="30" t="str">
        <f t="shared" si="12"/>
        <v/>
      </c>
    </row>
    <row r="297" spans="1:18" ht="15.75" x14ac:dyDescent="0.25">
      <c r="A297" s="8"/>
      <c r="B297" s="9"/>
      <c r="C297" s="8"/>
      <c r="D297" s="22"/>
      <c r="E297" s="8"/>
      <c r="F297" s="9"/>
      <c r="Q297" s="48" t="str">
        <f t="shared" si="11"/>
        <v/>
      </c>
      <c r="R297" s="25" t="str">
        <f t="shared" si="12"/>
        <v/>
      </c>
    </row>
    <row r="298" spans="1:18" ht="15.75" x14ac:dyDescent="0.25">
      <c r="A298" s="5"/>
      <c r="B298" s="6"/>
      <c r="C298" s="5"/>
      <c r="D298" s="7"/>
      <c r="E298" s="5"/>
      <c r="F298" s="6"/>
      <c r="Q298" s="66" t="str">
        <f t="shared" si="11"/>
        <v/>
      </c>
      <c r="R298" s="30" t="str">
        <f t="shared" si="12"/>
        <v/>
      </c>
    </row>
    <row r="299" spans="1:18" ht="15.75" x14ac:dyDescent="0.25">
      <c r="A299" s="8"/>
      <c r="B299" s="9"/>
      <c r="C299" s="8"/>
      <c r="D299" s="22"/>
      <c r="E299" s="8"/>
      <c r="F299" s="9"/>
      <c r="Q299" s="48" t="str">
        <f t="shared" si="11"/>
        <v/>
      </c>
      <c r="R299" s="25" t="str">
        <f t="shared" si="12"/>
        <v/>
      </c>
    </row>
    <row r="300" spans="1:18" ht="15.75" x14ac:dyDescent="0.25">
      <c r="A300" s="5"/>
      <c r="B300" s="6"/>
      <c r="C300" s="5"/>
      <c r="D300" s="7"/>
      <c r="E300" s="5"/>
      <c r="F300" s="6"/>
      <c r="Q300" s="66" t="str">
        <f t="shared" si="11"/>
        <v/>
      </c>
      <c r="R300" s="30" t="str">
        <f t="shared" si="12"/>
        <v/>
      </c>
    </row>
    <row r="301" spans="1:18" ht="15.75" x14ac:dyDescent="0.25">
      <c r="A301" s="8"/>
      <c r="B301" s="9"/>
      <c r="C301" s="8"/>
      <c r="D301" s="22"/>
      <c r="E301" s="8"/>
      <c r="F301" s="9"/>
      <c r="Q301" s="48" t="str">
        <f t="shared" si="11"/>
        <v/>
      </c>
      <c r="R301" s="25" t="str">
        <f t="shared" si="12"/>
        <v/>
      </c>
    </row>
    <row r="302" spans="1:18" ht="15.75" x14ac:dyDescent="0.25">
      <c r="A302" s="5"/>
      <c r="B302" s="6"/>
      <c r="C302" s="5"/>
      <c r="D302" s="7"/>
      <c r="E302" s="5"/>
      <c r="F302" s="6"/>
      <c r="Q302" s="66" t="str">
        <f t="shared" si="11"/>
        <v/>
      </c>
      <c r="R302" s="30" t="str">
        <f t="shared" si="12"/>
        <v/>
      </c>
    </row>
    <row r="303" spans="1:18" ht="15.75" x14ac:dyDescent="0.25">
      <c r="A303" s="8"/>
      <c r="B303" s="9"/>
      <c r="C303" s="8"/>
      <c r="D303" s="22"/>
      <c r="E303" s="8"/>
      <c r="F303" s="9"/>
      <c r="Q303" s="48" t="str">
        <f t="shared" si="11"/>
        <v/>
      </c>
      <c r="R303" s="25" t="str">
        <f t="shared" si="12"/>
        <v/>
      </c>
    </row>
    <row r="304" spans="1:18" ht="15.75" x14ac:dyDescent="0.25">
      <c r="A304" s="5"/>
      <c r="B304" s="6"/>
      <c r="C304" s="5"/>
      <c r="D304" s="7"/>
      <c r="E304" s="5"/>
      <c r="F304" s="6"/>
      <c r="Q304" s="66" t="str">
        <f t="shared" si="11"/>
        <v/>
      </c>
      <c r="R304" s="30" t="str">
        <f t="shared" si="12"/>
        <v/>
      </c>
    </row>
    <row r="305" spans="1:18" ht="15.75" x14ac:dyDescent="0.25">
      <c r="A305" s="8"/>
      <c r="B305" s="9"/>
      <c r="C305" s="8"/>
      <c r="D305" s="22"/>
      <c r="E305" s="8"/>
      <c r="F305" s="9"/>
      <c r="Q305" s="48" t="str">
        <f t="shared" si="11"/>
        <v/>
      </c>
      <c r="R305" s="25" t="str">
        <f t="shared" si="12"/>
        <v/>
      </c>
    </row>
    <row r="306" spans="1:18" ht="15.75" x14ac:dyDescent="0.25">
      <c r="A306" s="5"/>
      <c r="B306" s="6"/>
      <c r="C306" s="5"/>
      <c r="D306" s="7"/>
      <c r="E306" s="5"/>
      <c r="F306" s="6"/>
      <c r="Q306" s="66" t="str">
        <f t="shared" si="11"/>
        <v/>
      </c>
      <c r="R306" s="30" t="str">
        <f t="shared" si="12"/>
        <v/>
      </c>
    </row>
    <row r="307" spans="1:18" ht="15.75" x14ac:dyDescent="0.25">
      <c r="A307" s="8"/>
      <c r="B307" s="9"/>
      <c r="C307" s="8"/>
      <c r="D307" s="22"/>
      <c r="E307" s="8"/>
      <c r="F307" s="9"/>
      <c r="Q307" s="48" t="str">
        <f t="shared" si="11"/>
        <v/>
      </c>
      <c r="R307" s="25" t="str">
        <f t="shared" si="12"/>
        <v/>
      </c>
    </row>
    <row r="308" spans="1:18" ht="15.75" x14ac:dyDescent="0.25">
      <c r="A308" s="5"/>
      <c r="B308" s="6"/>
      <c r="C308" s="5"/>
      <c r="D308" s="7"/>
      <c r="E308" s="5"/>
      <c r="F308" s="6"/>
      <c r="Q308" s="66" t="str">
        <f t="shared" si="11"/>
        <v/>
      </c>
      <c r="R308" s="30" t="str">
        <f t="shared" si="12"/>
        <v/>
      </c>
    </row>
    <row r="309" spans="1:18" ht="15.75" x14ac:dyDescent="0.25">
      <c r="A309" s="8"/>
      <c r="B309" s="9"/>
      <c r="C309" s="8"/>
      <c r="D309" s="22"/>
      <c r="E309" s="8"/>
      <c r="F309" s="9"/>
      <c r="Q309" s="48" t="str">
        <f t="shared" si="11"/>
        <v/>
      </c>
      <c r="R309" s="25" t="str">
        <f t="shared" si="12"/>
        <v/>
      </c>
    </row>
    <row r="310" spans="1:18" ht="15.75" x14ac:dyDescent="0.25">
      <c r="A310" s="5"/>
      <c r="B310" s="6"/>
      <c r="C310" s="5"/>
      <c r="D310" s="7"/>
      <c r="E310" s="5"/>
      <c r="F310" s="6"/>
      <c r="Q310" s="66" t="str">
        <f t="shared" si="11"/>
        <v/>
      </c>
      <c r="R310" s="30" t="str">
        <f t="shared" si="12"/>
        <v/>
      </c>
    </row>
    <row r="311" spans="1:18" ht="15.75" x14ac:dyDescent="0.25">
      <c r="A311" s="8"/>
      <c r="B311" s="9"/>
      <c r="C311" s="8"/>
      <c r="D311" s="22"/>
      <c r="E311" s="8"/>
      <c r="F311" s="9"/>
      <c r="Q311" s="48" t="str">
        <f t="shared" si="11"/>
        <v/>
      </c>
      <c r="R311" s="25" t="str">
        <f t="shared" si="12"/>
        <v/>
      </c>
    </row>
    <row r="312" spans="1:18" ht="15.75" x14ac:dyDescent="0.25">
      <c r="A312" s="5"/>
      <c r="B312" s="6"/>
      <c r="C312" s="5"/>
      <c r="D312" s="7"/>
      <c r="E312" s="5"/>
      <c r="F312" s="6"/>
      <c r="Q312" s="66" t="str">
        <f t="shared" si="11"/>
        <v/>
      </c>
      <c r="R312" s="30" t="str">
        <f t="shared" si="12"/>
        <v/>
      </c>
    </row>
    <row r="313" spans="1:18" ht="15.75" x14ac:dyDescent="0.25">
      <c r="A313" s="8"/>
      <c r="B313" s="9"/>
      <c r="C313" s="8"/>
      <c r="D313" s="22"/>
      <c r="E313" s="8"/>
      <c r="F313" s="9"/>
      <c r="Q313" s="48" t="str">
        <f t="shared" si="11"/>
        <v/>
      </c>
      <c r="R313" s="25" t="str">
        <f t="shared" si="12"/>
        <v/>
      </c>
    </row>
    <row r="314" spans="1:18" ht="15.75" x14ac:dyDescent="0.25">
      <c r="A314" s="5"/>
      <c r="B314" s="6"/>
      <c r="C314" s="5"/>
      <c r="D314" s="7"/>
      <c r="E314" s="5"/>
      <c r="F314" s="6"/>
      <c r="Q314" s="66" t="str">
        <f t="shared" si="11"/>
        <v/>
      </c>
      <c r="R314" s="30" t="str">
        <f t="shared" si="12"/>
        <v/>
      </c>
    </row>
    <row r="315" spans="1:18" ht="15.75" x14ac:dyDescent="0.25">
      <c r="A315" s="8"/>
      <c r="B315" s="9"/>
      <c r="C315" s="8"/>
      <c r="D315" s="22"/>
      <c r="E315" s="8"/>
      <c r="F315" s="9"/>
      <c r="Q315" s="48" t="str">
        <f t="shared" si="11"/>
        <v/>
      </c>
      <c r="R315" s="25" t="str">
        <f t="shared" si="12"/>
        <v/>
      </c>
    </row>
    <row r="316" spans="1:18" ht="15.75" x14ac:dyDescent="0.25">
      <c r="A316" s="5"/>
      <c r="B316" s="6"/>
      <c r="C316" s="5"/>
      <c r="D316" s="7"/>
      <c r="E316" s="5"/>
      <c r="F316" s="6"/>
      <c r="Q316" s="66" t="str">
        <f t="shared" si="11"/>
        <v/>
      </c>
      <c r="R316" s="30" t="str">
        <f t="shared" si="12"/>
        <v/>
      </c>
    </row>
    <row r="317" spans="1:18" ht="15.75" x14ac:dyDescent="0.25">
      <c r="A317" s="8"/>
      <c r="B317" s="9"/>
      <c r="C317" s="8"/>
      <c r="D317" s="22"/>
      <c r="E317" s="8"/>
      <c r="F317" s="9"/>
      <c r="Q317" s="48" t="str">
        <f t="shared" si="11"/>
        <v/>
      </c>
      <c r="R317" s="25" t="str">
        <f t="shared" si="12"/>
        <v/>
      </c>
    </row>
    <row r="318" spans="1:18" ht="15.75" x14ac:dyDescent="0.25">
      <c r="A318" s="5"/>
      <c r="B318" s="6"/>
      <c r="C318" s="5"/>
      <c r="D318" s="7"/>
      <c r="E318" s="5"/>
      <c r="F318" s="6"/>
      <c r="Q318" s="66" t="str">
        <f t="shared" si="11"/>
        <v/>
      </c>
      <c r="R318" s="30" t="str">
        <f t="shared" si="12"/>
        <v/>
      </c>
    </row>
    <row r="319" spans="1:18" ht="15.75" x14ac:dyDescent="0.25">
      <c r="A319" s="8"/>
      <c r="B319" s="9"/>
      <c r="C319" s="8"/>
      <c r="D319" s="22"/>
      <c r="E319" s="8"/>
      <c r="F319" s="9"/>
      <c r="Q319" s="48" t="str">
        <f t="shared" si="11"/>
        <v/>
      </c>
      <c r="R319" s="25" t="str">
        <f t="shared" si="12"/>
        <v/>
      </c>
    </row>
    <row r="320" spans="1:18" ht="15.75" x14ac:dyDescent="0.25">
      <c r="A320" s="5"/>
      <c r="B320" s="6"/>
      <c r="C320" s="5"/>
      <c r="D320" s="7"/>
      <c r="E320" s="5"/>
      <c r="F320" s="6"/>
      <c r="Q320" s="66" t="str">
        <f t="shared" si="11"/>
        <v/>
      </c>
      <c r="R320" s="30" t="str">
        <f t="shared" si="12"/>
        <v/>
      </c>
    </row>
    <row r="321" spans="1:18" ht="15.75" x14ac:dyDescent="0.25">
      <c r="A321" s="8"/>
      <c r="B321" s="9"/>
      <c r="C321" s="8"/>
      <c r="D321" s="22"/>
      <c r="E321" s="8"/>
      <c r="F321" s="9"/>
      <c r="Q321" s="48" t="str">
        <f t="shared" si="11"/>
        <v/>
      </c>
      <c r="R321" s="25" t="str">
        <f t="shared" si="12"/>
        <v/>
      </c>
    </row>
    <row r="322" spans="1:18" ht="15.75" x14ac:dyDescent="0.25">
      <c r="A322" s="5"/>
      <c r="B322" s="6"/>
      <c r="C322" s="5"/>
      <c r="D322" s="7"/>
      <c r="E322" s="5"/>
      <c r="F322" s="6"/>
      <c r="Q322" s="66" t="str">
        <f t="shared" si="11"/>
        <v/>
      </c>
      <c r="R322" s="30" t="str">
        <f t="shared" si="12"/>
        <v/>
      </c>
    </row>
    <row r="323" spans="1:18" ht="15.75" x14ac:dyDescent="0.25">
      <c r="A323" s="8"/>
      <c r="B323" s="9"/>
      <c r="C323" s="8"/>
      <c r="D323" s="22"/>
      <c r="E323" s="8"/>
      <c r="F323" s="9"/>
      <c r="Q323" s="48" t="str">
        <f t="shared" ref="Q323:Q386" si="13">IF(A323=$K$2,D323/60*$N$2,IF(A323=$K$3,D323/60*$N$3,IF(A323=$K$4,D323/60*$N$4,IF(A323=$K$5,D323/60*$N$5,IF(A323=$K$6,D323/60*$N$6,IF(A323=$K$7,D323/60*$N$7,IF(A323=$K$8,D323/60*$N$8,"")))))))</f>
        <v/>
      </c>
      <c r="R323" s="25" t="str">
        <f t="shared" ref="R323:R386" si="14">IF(D323="","",D323/$S$2)</f>
        <v/>
      </c>
    </row>
    <row r="324" spans="1:18" ht="15.75" x14ac:dyDescent="0.25">
      <c r="A324" s="5"/>
      <c r="B324" s="6"/>
      <c r="C324" s="5"/>
      <c r="D324" s="7"/>
      <c r="E324" s="5"/>
      <c r="F324" s="6"/>
      <c r="Q324" s="66" t="str">
        <f t="shared" si="13"/>
        <v/>
      </c>
      <c r="R324" s="30" t="str">
        <f t="shared" si="14"/>
        <v/>
      </c>
    </row>
    <row r="325" spans="1:18" ht="15.75" x14ac:dyDescent="0.25">
      <c r="A325" s="8"/>
      <c r="B325" s="9"/>
      <c r="C325" s="8"/>
      <c r="D325" s="22"/>
      <c r="E325" s="8"/>
      <c r="F325" s="9"/>
      <c r="Q325" s="48" t="str">
        <f t="shared" si="13"/>
        <v/>
      </c>
      <c r="R325" s="25" t="str">
        <f t="shared" si="14"/>
        <v/>
      </c>
    </row>
    <row r="326" spans="1:18" ht="15.75" x14ac:dyDescent="0.25">
      <c r="A326" s="5"/>
      <c r="B326" s="6"/>
      <c r="C326" s="5"/>
      <c r="D326" s="7"/>
      <c r="E326" s="5"/>
      <c r="F326" s="6"/>
      <c r="Q326" s="66" t="str">
        <f t="shared" si="13"/>
        <v/>
      </c>
      <c r="R326" s="30" t="str">
        <f t="shared" si="14"/>
        <v/>
      </c>
    </row>
    <row r="327" spans="1:18" ht="15.75" x14ac:dyDescent="0.25">
      <c r="A327" s="8"/>
      <c r="B327" s="9"/>
      <c r="C327" s="8"/>
      <c r="D327" s="22"/>
      <c r="E327" s="8"/>
      <c r="F327" s="9"/>
      <c r="Q327" s="48" t="str">
        <f t="shared" si="13"/>
        <v/>
      </c>
      <c r="R327" s="25" t="str">
        <f t="shared" si="14"/>
        <v/>
      </c>
    </row>
    <row r="328" spans="1:18" ht="15.75" x14ac:dyDescent="0.25">
      <c r="A328" s="5"/>
      <c r="B328" s="6"/>
      <c r="C328" s="5"/>
      <c r="D328" s="7"/>
      <c r="E328" s="5"/>
      <c r="F328" s="6"/>
      <c r="Q328" s="66" t="str">
        <f t="shared" si="13"/>
        <v/>
      </c>
      <c r="R328" s="30" t="str">
        <f t="shared" si="14"/>
        <v/>
      </c>
    </row>
    <row r="329" spans="1:18" ht="15.75" x14ac:dyDescent="0.25">
      <c r="A329" s="8"/>
      <c r="B329" s="9"/>
      <c r="C329" s="8"/>
      <c r="D329" s="22"/>
      <c r="E329" s="8"/>
      <c r="F329" s="9"/>
      <c r="Q329" s="48" t="str">
        <f t="shared" si="13"/>
        <v/>
      </c>
      <c r="R329" s="25" t="str">
        <f t="shared" si="14"/>
        <v/>
      </c>
    </row>
    <row r="330" spans="1:18" ht="15.75" x14ac:dyDescent="0.25">
      <c r="A330" s="5"/>
      <c r="B330" s="6"/>
      <c r="C330" s="5"/>
      <c r="D330" s="7"/>
      <c r="E330" s="5"/>
      <c r="F330" s="6"/>
      <c r="Q330" s="66" t="str">
        <f t="shared" si="13"/>
        <v/>
      </c>
      <c r="R330" s="30" t="str">
        <f t="shared" si="14"/>
        <v/>
      </c>
    </row>
    <row r="331" spans="1:18" ht="15.75" x14ac:dyDescent="0.25">
      <c r="A331" s="8"/>
      <c r="B331" s="9"/>
      <c r="C331" s="8"/>
      <c r="D331" s="22"/>
      <c r="E331" s="8"/>
      <c r="F331" s="9"/>
      <c r="Q331" s="48" t="str">
        <f t="shared" si="13"/>
        <v/>
      </c>
      <c r="R331" s="25" t="str">
        <f t="shared" si="14"/>
        <v/>
      </c>
    </row>
    <row r="332" spans="1:18" ht="15.75" x14ac:dyDescent="0.25">
      <c r="A332" s="5"/>
      <c r="B332" s="6"/>
      <c r="C332" s="5"/>
      <c r="D332" s="7"/>
      <c r="E332" s="5"/>
      <c r="F332" s="6"/>
      <c r="Q332" s="66" t="str">
        <f t="shared" si="13"/>
        <v/>
      </c>
      <c r="R332" s="30" t="str">
        <f t="shared" si="14"/>
        <v/>
      </c>
    </row>
    <row r="333" spans="1:18" ht="15.75" x14ac:dyDescent="0.25">
      <c r="A333" s="8"/>
      <c r="B333" s="9"/>
      <c r="C333" s="8"/>
      <c r="D333" s="22"/>
      <c r="E333" s="8"/>
      <c r="F333" s="9"/>
      <c r="Q333" s="48" t="str">
        <f t="shared" si="13"/>
        <v/>
      </c>
      <c r="R333" s="25" t="str">
        <f t="shared" si="14"/>
        <v/>
      </c>
    </row>
    <row r="334" spans="1:18" ht="15.75" x14ac:dyDescent="0.25">
      <c r="A334" s="5"/>
      <c r="B334" s="6"/>
      <c r="C334" s="5"/>
      <c r="D334" s="7"/>
      <c r="E334" s="5"/>
      <c r="F334" s="6"/>
      <c r="Q334" s="66" t="str">
        <f t="shared" si="13"/>
        <v/>
      </c>
      <c r="R334" s="30" t="str">
        <f t="shared" si="14"/>
        <v/>
      </c>
    </row>
    <row r="335" spans="1:18" ht="15.75" x14ac:dyDescent="0.25">
      <c r="A335" s="8"/>
      <c r="B335" s="9"/>
      <c r="C335" s="8"/>
      <c r="D335" s="22"/>
      <c r="E335" s="8"/>
      <c r="F335" s="9"/>
      <c r="Q335" s="48" t="str">
        <f t="shared" si="13"/>
        <v/>
      </c>
      <c r="R335" s="25" t="str">
        <f t="shared" si="14"/>
        <v/>
      </c>
    </row>
    <row r="336" spans="1:18" ht="15.75" x14ac:dyDescent="0.25">
      <c r="A336" s="5"/>
      <c r="B336" s="6"/>
      <c r="C336" s="5"/>
      <c r="D336" s="7"/>
      <c r="E336" s="5"/>
      <c r="F336" s="6"/>
      <c r="Q336" s="66" t="str">
        <f t="shared" si="13"/>
        <v/>
      </c>
      <c r="R336" s="30" t="str">
        <f t="shared" si="14"/>
        <v/>
      </c>
    </row>
    <row r="337" spans="1:18" ht="15.75" x14ac:dyDescent="0.25">
      <c r="A337" s="8"/>
      <c r="B337" s="9"/>
      <c r="C337" s="8"/>
      <c r="D337" s="22"/>
      <c r="E337" s="8"/>
      <c r="F337" s="9"/>
      <c r="Q337" s="48" t="str">
        <f t="shared" si="13"/>
        <v/>
      </c>
      <c r="R337" s="25" t="str">
        <f t="shared" si="14"/>
        <v/>
      </c>
    </row>
    <row r="338" spans="1:18" ht="15.75" x14ac:dyDescent="0.25">
      <c r="A338" s="5"/>
      <c r="B338" s="6"/>
      <c r="C338" s="5"/>
      <c r="D338" s="7"/>
      <c r="E338" s="5"/>
      <c r="F338" s="6"/>
      <c r="Q338" s="66" t="str">
        <f t="shared" si="13"/>
        <v/>
      </c>
      <c r="R338" s="30" t="str">
        <f t="shared" si="14"/>
        <v/>
      </c>
    </row>
    <row r="339" spans="1:18" ht="15.75" x14ac:dyDescent="0.25">
      <c r="A339" s="8"/>
      <c r="B339" s="9"/>
      <c r="C339" s="8"/>
      <c r="D339" s="22"/>
      <c r="E339" s="8"/>
      <c r="F339" s="9"/>
      <c r="Q339" s="48" t="str">
        <f t="shared" si="13"/>
        <v/>
      </c>
      <c r="R339" s="25" t="str">
        <f t="shared" si="14"/>
        <v/>
      </c>
    </row>
    <row r="340" spans="1:18" ht="15.75" x14ac:dyDescent="0.25">
      <c r="A340" s="5"/>
      <c r="B340" s="6"/>
      <c r="C340" s="5"/>
      <c r="D340" s="7"/>
      <c r="E340" s="5"/>
      <c r="F340" s="6"/>
      <c r="Q340" s="66" t="str">
        <f t="shared" si="13"/>
        <v/>
      </c>
      <c r="R340" s="30" t="str">
        <f t="shared" si="14"/>
        <v/>
      </c>
    </row>
    <row r="341" spans="1:18" ht="15.75" x14ac:dyDescent="0.25">
      <c r="A341" s="8"/>
      <c r="B341" s="9"/>
      <c r="C341" s="8"/>
      <c r="D341" s="22"/>
      <c r="E341" s="8"/>
      <c r="F341" s="9"/>
      <c r="Q341" s="48" t="str">
        <f t="shared" si="13"/>
        <v/>
      </c>
      <c r="R341" s="25" t="str">
        <f t="shared" si="14"/>
        <v/>
      </c>
    </row>
    <row r="342" spans="1:18" ht="15.75" x14ac:dyDescent="0.25">
      <c r="A342" s="5"/>
      <c r="B342" s="6"/>
      <c r="C342" s="5"/>
      <c r="D342" s="7"/>
      <c r="E342" s="5"/>
      <c r="F342" s="6"/>
      <c r="Q342" s="66" t="str">
        <f t="shared" si="13"/>
        <v/>
      </c>
      <c r="R342" s="30" t="str">
        <f t="shared" si="14"/>
        <v/>
      </c>
    </row>
    <row r="343" spans="1:18" ht="15.75" x14ac:dyDescent="0.25">
      <c r="A343" s="8"/>
      <c r="B343" s="9"/>
      <c r="C343" s="8"/>
      <c r="D343" s="22"/>
      <c r="E343" s="8"/>
      <c r="F343" s="9"/>
      <c r="Q343" s="48" t="str">
        <f t="shared" si="13"/>
        <v/>
      </c>
      <c r="R343" s="25" t="str">
        <f t="shared" si="14"/>
        <v/>
      </c>
    </row>
    <row r="344" spans="1:18" ht="15.75" x14ac:dyDescent="0.25">
      <c r="A344" s="5"/>
      <c r="B344" s="6"/>
      <c r="C344" s="5"/>
      <c r="D344" s="7"/>
      <c r="E344" s="5"/>
      <c r="F344" s="6"/>
      <c r="Q344" s="66" t="str">
        <f t="shared" si="13"/>
        <v/>
      </c>
      <c r="R344" s="30" t="str">
        <f t="shared" si="14"/>
        <v/>
      </c>
    </row>
    <row r="345" spans="1:18" ht="15.75" x14ac:dyDescent="0.25">
      <c r="A345" s="8"/>
      <c r="B345" s="9"/>
      <c r="C345" s="8"/>
      <c r="D345" s="22"/>
      <c r="E345" s="8"/>
      <c r="F345" s="9"/>
      <c r="Q345" s="48" t="str">
        <f t="shared" si="13"/>
        <v/>
      </c>
      <c r="R345" s="25" t="str">
        <f t="shared" si="14"/>
        <v/>
      </c>
    </row>
    <row r="346" spans="1:18" ht="15.75" x14ac:dyDescent="0.25">
      <c r="A346" s="5"/>
      <c r="B346" s="6"/>
      <c r="C346" s="5"/>
      <c r="D346" s="7"/>
      <c r="E346" s="5"/>
      <c r="F346" s="6"/>
      <c r="Q346" s="66" t="str">
        <f t="shared" si="13"/>
        <v/>
      </c>
      <c r="R346" s="30" t="str">
        <f t="shared" si="14"/>
        <v/>
      </c>
    </row>
    <row r="347" spans="1:18" ht="15.75" x14ac:dyDescent="0.25">
      <c r="A347" s="8"/>
      <c r="B347" s="9"/>
      <c r="C347" s="8"/>
      <c r="D347" s="22"/>
      <c r="E347" s="8"/>
      <c r="F347" s="9"/>
      <c r="Q347" s="48" t="str">
        <f t="shared" si="13"/>
        <v/>
      </c>
      <c r="R347" s="25" t="str">
        <f t="shared" si="14"/>
        <v/>
      </c>
    </row>
    <row r="348" spans="1:18" ht="15.75" x14ac:dyDescent="0.25">
      <c r="A348" s="5"/>
      <c r="B348" s="6"/>
      <c r="C348" s="5"/>
      <c r="D348" s="7"/>
      <c r="E348" s="5"/>
      <c r="F348" s="6"/>
      <c r="Q348" s="66" t="str">
        <f t="shared" si="13"/>
        <v/>
      </c>
      <c r="R348" s="30" t="str">
        <f t="shared" si="14"/>
        <v/>
      </c>
    </row>
    <row r="349" spans="1:18" ht="15.75" x14ac:dyDescent="0.25">
      <c r="A349" s="8"/>
      <c r="B349" s="9"/>
      <c r="C349" s="8"/>
      <c r="D349" s="22"/>
      <c r="E349" s="8"/>
      <c r="F349" s="9"/>
      <c r="Q349" s="48" t="str">
        <f t="shared" si="13"/>
        <v/>
      </c>
      <c r="R349" s="25" t="str">
        <f t="shared" si="14"/>
        <v/>
      </c>
    </row>
    <row r="350" spans="1:18" ht="15.75" x14ac:dyDescent="0.25">
      <c r="A350" s="5"/>
      <c r="B350" s="6"/>
      <c r="C350" s="5"/>
      <c r="D350" s="7"/>
      <c r="E350" s="5"/>
      <c r="F350" s="6"/>
      <c r="Q350" s="66" t="str">
        <f t="shared" si="13"/>
        <v/>
      </c>
      <c r="R350" s="30" t="str">
        <f t="shared" si="14"/>
        <v/>
      </c>
    </row>
    <row r="351" spans="1:18" ht="15.75" x14ac:dyDescent="0.25">
      <c r="A351" s="8"/>
      <c r="B351" s="9"/>
      <c r="C351" s="8"/>
      <c r="D351" s="22"/>
      <c r="E351" s="8"/>
      <c r="F351" s="9"/>
      <c r="Q351" s="48" t="str">
        <f t="shared" si="13"/>
        <v/>
      </c>
      <c r="R351" s="25" t="str">
        <f t="shared" si="14"/>
        <v/>
      </c>
    </row>
    <row r="352" spans="1:18" ht="15.75" x14ac:dyDescent="0.25">
      <c r="A352" s="5"/>
      <c r="B352" s="6"/>
      <c r="C352" s="5"/>
      <c r="D352" s="7"/>
      <c r="E352" s="5"/>
      <c r="F352" s="6"/>
      <c r="Q352" s="66" t="str">
        <f t="shared" si="13"/>
        <v/>
      </c>
      <c r="R352" s="30" t="str">
        <f t="shared" si="14"/>
        <v/>
      </c>
    </row>
    <row r="353" spans="1:18" ht="15.75" x14ac:dyDescent="0.25">
      <c r="A353" s="8"/>
      <c r="B353" s="9"/>
      <c r="C353" s="8"/>
      <c r="D353" s="22"/>
      <c r="E353" s="8"/>
      <c r="F353" s="9"/>
      <c r="Q353" s="48" t="str">
        <f t="shared" si="13"/>
        <v/>
      </c>
      <c r="R353" s="25" t="str">
        <f t="shared" si="14"/>
        <v/>
      </c>
    </row>
    <row r="354" spans="1:18" ht="15.75" x14ac:dyDescent="0.25">
      <c r="A354" s="5"/>
      <c r="B354" s="6"/>
      <c r="C354" s="5"/>
      <c r="D354" s="7"/>
      <c r="E354" s="5"/>
      <c r="F354" s="6"/>
      <c r="Q354" s="66" t="str">
        <f t="shared" si="13"/>
        <v/>
      </c>
      <c r="R354" s="30" t="str">
        <f t="shared" si="14"/>
        <v/>
      </c>
    </row>
    <row r="355" spans="1:18" ht="15.75" x14ac:dyDescent="0.25">
      <c r="A355" s="8"/>
      <c r="B355" s="9"/>
      <c r="C355" s="8"/>
      <c r="D355" s="22"/>
      <c r="E355" s="8"/>
      <c r="F355" s="9"/>
      <c r="Q355" s="48" t="str">
        <f t="shared" si="13"/>
        <v/>
      </c>
      <c r="R355" s="25" t="str">
        <f t="shared" si="14"/>
        <v/>
      </c>
    </row>
    <row r="356" spans="1:18" ht="15.75" x14ac:dyDescent="0.25">
      <c r="A356" s="5"/>
      <c r="B356" s="6"/>
      <c r="C356" s="5"/>
      <c r="D356" s="7"/>
      <c r="E356" s="5"/>
      <c r="F356" s="6"/>
      <c r="Q356" s="66" t="str">
        <f t="shared" si="13"/>
        <v/>
      </c>
      <c r="R356" s="30" t="str">
        <f t="shared" si="14"/>
        <v/>
      </c>
    </row>
    <row r="357" spans="1:18" ht="15.75" x14ac:dyDescent="0.25">
      <c r="A357" s="8"/>
      <c r="B357" s="9"/>
      <c r="C357" s="8"/>
      <c r="D357" s="22"/>
      <c r="E357" s="8"/>
      <c r="F357" s="9"/>
      <c r="Q357" s="48" t="str">
        <f t="shared" si="13"/>
        <v/>
      </c>
      <c r="R357" s="25" t="str">
        <f t="shared" si="14"/>
        <v/>
      </c>
    </row>
    <row r="358" spans="1:18" ht="15.75" x14ac:dyDescent="0.25">
      <c r="A358" s="5"/>
      <c r="B358" s="6"/>
      <c r="C358" s="5"/>
      <c r="D358" s="7"/>
      <c r="E358" s="5"/>
      <c r="F358" s="6"/>
      <c r="Q358" s="66" t="str">
        <f t="shared" si="13"/>
        <v/>
      </c>
      <c r="R358" s="30" t="str">
        <f t="shared" si="14"/>
        <v/>
      </c>
    </row>
    <row r="359" spans="1:18" ht="15.75" x14ac:dyDescent="0.25">
      <c r="A359" s="8"/>
      <c r="B359" s="9"/>
      <c r="C359" s="8"/>
      <c r="D359" s="22"/>
      <c r="E359" s="8"/>
      <c r="F359" s="9"/>
      <c r="Q359" s="48" t="str">
        <f t="shared" si="13"/>
        <v/>
      </c>
      <c r="R359" s="25" t="str">
        <f t="shared" si="14"/>
        <v/>
      </c>
    </row>
    <row r="360" spans="1:18" ht="15.75" x14ac:dyDescent="0.25">
      <c r="A360" s="5"/>
      <c r="B360" s="6"/>
      <c r="C360" s="5"/>
      <c r="D360" s="7"/>
      <c r="E360" s="5"/>
      <c r="F360" s="6"/>
      <c r="Q360" s="66" t="str">
        <f t="shared" si="13"/>
        <v/>
      </c>
      <c r="R360" s="30" t="str">
        <f t="shared" si="14"/>
        <v/>
      </c>
    </row>
    <row r="361" spans="1:18" ht="15.75" x14ac:dyDescent="0.25">
      <c r="A361" s="8"/>
      <c r="B361" s="9"/>
      <c r="C361" s="8"/>
      <c r="D361" s="22"/>
      <c r="E361" s="8"/>
      <c r="F361" s="9"/>
      <c r="Q361" s="48" t="str">
        <f t="shared" si="13"/>
        <v/>
      </c>
      <c r="R361" s="25" t="str">
        <f t="shared" si="14"/>
        <v/>
      </c>
    </row>
    <row r="362" spans="1:18" ht="15.75" x14ac:dyDescent="0.25">
      <c r="A362" s="5"/>
      <c r="B362" s="6"/>
      <c r="C362" s="5"/>
      <c r="D362" s="7"/>
      <c r="E362" s="5"/>
      <c r="F362" s="6"/>
      <c r="Q362" s="66" t="str">
        <f t="shared" si="13"/>
        <v/>
      </c>
      <c r="R362" s="30" t="str">
        <f t="shared" si="14"/>
        <v/>
      </c>
    </row>
    <row r="363" spans="1:18" ht="15.75" x14ac:dyDescent="0.25">
      <c r="A363" s="8"/>
      <c r="B363" s="9"/>
      <c r="C363" s="8"/>
      <c r="D363" s="22"/>
      <c r="E363" s="8"/>
      <c r="F363" s="9"/>
      <c r="Q363" s="48" t="str">
        <f t="shared" si="13"/>
        <v/>
      </c>
      <c r="R363" s="25" t="str">
        <f t="shared" si="14"/>
        <v/>
      </c>
    </row>
    <row r="364" spans="1:18" ht="15.75" x14ac:dyDescent="0.25">
      <c r="A364" s="5"/>
      <c r="B364" s="6"/>
      <c r="C364" s="5"/>
      <c r="D364" s="7"/>
      <c r="E364" s="5"/>
      <c r="F364" s="6"/>
      <c r="Q364" s="66" t="str">
        <f t="shared" si="13"/>
        <v/>
      </c>
      <c r="R364" s="30" t="str">
        <f t="shared" si="14"/>
        <v/>
      </c>
    </row>
    <row r="365" spans="1:18" ht="15.75" x14ac:dyDescent="0.25">
      <c r="A365" s="8"/>
      <c r="B365" s="9"/>
      <c r="C365" s="8"/>
      <c r="D365" s="22"/>
      <c r="E365" s="8"/>
      <c r="F365" s="9"/>
      <c r="Q365" s="48" t="str">
        <f t="shared" si="13"/>
        <v/>
      </c>
      <c r="R365" s="25" t="str">
        <f t="shared" si="14"/>
        <v/>
      </c>
    </row>
    <row r="366" spans="1:18" ht="15.75" x14ac:dyDescent="0.25">
      <c r="A366" s="5"/>
      <c r="B366" s="6"/>
      <c r="C366" s="5"/>
      <c r="D366" s="7"/>
      <c r="E366" s="5"/>
      <c r="F366" s="6"/>
      <c r="Q366" s="66" t="str">
        <f t="shared" si="13"/>
        <v/>
      </c>
      <c r="R366" s="30" t="str">
        <f t="shared" si="14"/>
        <v/>
      </c>
    </row>
    <row r="367" spans="1:18" ht="15.75" x14ac:dyDescent="0.25">
      <c r="A367" s="8"/>
      <c r="B367" s="9"/>
      <c r="C367" s="8"/>
      <c r="D367" s="22"/>
      <c r="E367" s="8"/>
      <c r="F367" s="9"/>
      <c r="Q367" s="48" t="str">
        <f t="shared" si="13"/>
        <v/>
      </c>
      <c r="R367" s="25" t="str">
        <f t="shared" si="14"/>
        <v/>
      </c>
    </row>
    <row r="368" spans="1:18" ht="15.75" x14ac:dyDescent="0.25">
      <c r="A368" s="5"/>
      <c r="B368" s="6"/>
      <c r="C368" s="5"/>
      <c r="D368" s="7"/>
      <c r="E368" s="5"/>
      <c r="F368" s="6"/>
      <c r="Q368" s="66" t="str">
        <f t="shared" si="13"/>
        <v/>
      </c>
      <c r="R368" s="30" t="str">
        <f t="shared" si="14"/>
        <v/>
      </c>
    </row>
    <row r="369" spans="1:18" ht="15.75" x14ac:dyDescent="0.25">
      <c r="A369" s="8"/>
      <c r="B369" s="9"/>
      <c r="C369" s="8"/>
      <c r="D369" s="22"/>
      <c r="E369" s="8"/>
      <c r="F369" s="9"/>
      <c r="Q369" s="48" t="str">
        <f t="shared" si="13"/>
        <v/>
      </c>
      <c r="R369" s="25" t="str">
        <f t="shared" si="14"/>
        <v/>
      </c>
    </row>
    <row r="370" spans="1:18" ht="15.75" x14ac:dyDescent="0.25">
      <c r="A370" s="5"/>
      <c r="B370" s="6"/>
      <c r="C370" s="5"/>
      <c r="D370" s="7"/>
      <c r="E370" s="5"/>
      <c r="F370" s="6"/>
      <c r="Q370" s="66" t="str">
        <f t="shared" si="13"/>
        <v/>
      </c>
      <c r="R370" s="30" t="str">
        <f t="shared" si="14"/>
        <v/>
      </c>
    </row>
    <row r="371" spans="1:18" ht="15.75" x14ac:dyDescent="0.25">
      <c r="A371" s="8"/>
      <c r="B371" s="9"/>
      <c r="C371" s="8"/>
      <c r="D371" s="22"/>
      <c r="E371" s="8"/>
      <c r="F371" s="9"/>
      <c r="Q371" s="48" t="str">
        <f t="shared" si="13"/>
        <v/>
      </c>
      <c r="R371" s="25" t="str">
        <f t="shared" si="14"/>
        <v/>
      </c>
    </row>
    <row r="372" spans="1:18" ht="15.75" x14ac:dyDescent="0.25">
      <c r="A372" s="5"/>
      <c r="B372" s="6"/>
      <c r="C372" s="5"/>
      <c r="D372" s="7"/>
      <c r="E372" s="5"/>
      <c r="F372" s="6"/>
      <c r="Q372" s="66" t="str">
        <f t="shared" si="13"/>
        <v/>
      </c>
      <c r="R372" s="30" t="str">
        <f t="shared" si="14"/>
        <v/>
      </c>
    </row>
    <row r="373" spans="1:18" ht="15.75" x14ac:dyDescent="0.25">
      <c r="A373" s="8"/>
      <c r="B373" s="9"/>
      <c r="C373" s="8"/>
      <c r="D373" s="22"/>
      <c r="E373" s="8"/>
      <c r="F373" s="9"/>
      <c r="Q373" s="48" t="str">
        <f t="shared" si="13"/>
        <v/>
      </c>
      <c r="R373" s="25" t="str">
        <f t="shared" si="14"/>
        <v/>
      </c>
    </row>
    <row r="374" spans="1:18" ht="15.75" x14ac:dyDescent="0.25">
      <c r="A374" s="5"/>
      <c r="B374" s="6"/>
      <c r="C374" s="5"/>
      <c r="D374" s="7"/>
      <c r="E374" s="5"/>
      <c r="F374" s="6"/>
      <c r="Q374" s="66" t="str">
        <f t="shared" si="13"/>
        <v/>
      </c>
      <c r="R374" s="30" t="str">
        <f t="shared" si="14"/>
        <v/>
      </c>
    </row>
    <row r="375" spans="1:18" ht="15.75" x14ac:dyDescent="0.25">
      <c r="A375" s="8"/>
      <c r="B375" s="9"/>
      <c r="C375" s="8"/>
      <c r="D375" s="22"/>
      <c r="E375" s="8"/>
      <c r="F375" s="9"/>
      <c r="Q375" s="48" t="str">
        <f t="shared" si="13"/>
        <v/>
      </c>
      <c r="R375" s="25" t="str">
        <f t="shared" si="14"/>
        <v/>
      </c>
    </row>
    <row r="376" spans="1:18" ht="15.75" x14ac:dyDescent="0.25">
      <c r="A376" s="5"/>
      <c r="B376" s="6"/>
      <c r="C376" s="5"/>
      <c r="D376" s="7"/>
      <c r="E376" s="5"/>
      <c r="F376" s="6"/>
      <c r="Q376" s="66" t="str">
        <f t="shared" si="13"/>
        <v/>
      </c>
      <c r="R376" s="30" t="str">
        <f t="shared" si="14"/>
        <v/>
      </c>
    </row>
    <row r="377" spans="1:18" ht="15.75" x14ac:dyDescent="0.25">
      <c r="A377" s="8"/>
      <c r="B377" s="9"/>
      <c r="C377" s="8"/>
      <c r="D377" s="22"/>
      <c r="E377" s="8"/>
      <c r="F377" s="9"/>
      <c r="Q377" s="48" t="str">
        <f t="shared" si="13"/>
        <v/>
      </c>
      <c r="R377" s="25" t="str">
        <f t="shared" si="14"/>
        <v/>
      </c>
    </row>
    <row r="378" spans="1:18" ht="15.75" x14ac:dyDescent="0.25">
      <c r="A378" s="5"/>
      <c r="B378" s="6"/>
      <c r="C378" s="5"/>
      <c r="D378" s="7"/>
      <c r="E378" s="5"/>
      <c r="F378" s="6"/>
      <c r="Q378" s="66" t="str">
        <f t="shared" si="13"/>
        <v/>
      </c>
      <c r="R378" s="30" t="str">
        <f t="shared" si="14"/>
        <v/>
      </c>
    </row>
    <row r="379" spans="1:18" ht="15.75" x14ac:dyDescent="0.25">
      <c r="A379" s="8"/>
      <c r="B379" s="9"/>
      <c r="C379" s="8"/>
      <c r="D379" s="22"/>
      <c r="E379" s="8"/>
      <c r="F379" s="9"/>
      <c r="Q379" s="48" t="str">
        <f t="shared" si="13"/>
        <v/>
      </c>
      <c r="R379" s="25" t="str">
        <f t="shared" si="14"/>
        <v/>
      </c>
    </row>
    <row r="380" spans="1:18" ht="15.75" x14ac:dyDescent="0.25">
      <c r="A380" s="5"/>
      <c r="B380" s="6"/>
      <c r="C380" s="5"/>
      <c r="D380" s="7"/>
      <c r="E380" s="5"/>
      <c r="F380" s="6"/>
      <c r="Q380" s="66" t="str">
        <f t="shared" si="13"/>
        <v/>
      </c>
      <c r="R380" s="30" t="str">
        <f t="shared" si="14"/>
        <v/>
      </c>
    </row>
    <row r="381" spans="1:18" ht="15.75" x14ac:dyDescent="0.25">
      <c r="A381" s="8"/>
      <c r="B381" s="9"/>
      <c r="C381" s="8"/>
      <c r="D381" s="22"/>
      <c r="E381" s="8"/>
      <c r="F381" s="9"/>
      <c r="Q381" s="48" t="str">
        <f t="shared" si="13"/>
        <v/>
      </c>
      <c r="R381" s="25" t="str">
        <f t="shared" si="14"/>
        <v/>
      </c>
    </row>
    <row r="382" spans="1:18" ht="15.75" x14ac:dyDescent="0.25">
      <c r="A382" s="5"/>
      <c r="B382" s="6"/>
      <c r="C382" s="5"/>
      <c r="D382" s="7"/>
      <c r="E382" s="5"/>
      <c r="F382" s="6"/>
      <c r="Q382" s="66" t="str">
        <f t="shared" si="13"/>
        <v/>
      </c>
      <c r="R382" s="30" t="str">
        <f t="shared" si="14"/>
        <v/>
      </c>
    </row>
    <row r="383" spans="1:18" ht="15.75" x14ac:dyDescent="0.25">
      <c r="A383" s="8"/>
      <c r="B383" s="9"/>
      <c r="C383" s="8"/>
      <c r="D383" s="22"/>
      <c r="E383" s="8"/>
      <c r="F383" s="9"/>
      <c r="Q383" s="48" t="str">
        <f t="shared" si="13"/>
        <v/>
      </c>
      <c r="R383" s="25" t="str">
        <f t="shared" si="14"/>
        <v/>
      </c>
    </row>
    <row r="384" spans="1:18" ht="15.75" x14ac:dyDescent="0.25">
      <c r="A384" s="5"/>
      <c r="B384" s="6"/>
      <c r="C384" s="5"/>
      <c r="D384" s="7"/>
      <c r="E384" s="5"/>
      <c r="F384" s="6"/>
      <c r="Q384" s="66" t="str">
        <f t="shared" si="13"/>
        <v/>
      </c>
      <c r="R384" s="30" t="str">
        <f t="shared" si="14"/>
        <v/>
      </c>
    </row>
    <row r="385" spans="1:18" ht="15.75" x14ac:dyDescent="0.25">
      <c r="A385" s="8"/>
      <c r="B385" s="9"/>
      <c r="C385" s="8"/>
      <c r="D385" s="22"/>
      <c r="E385" s="8"/>
      <c r="F385" s="9"/>
      <c r="Q385" s="48" t="str">
        <f t="shared" si="13"/>
        <v/>
      </c>
      <c r="R385" s="25" t="str">
        <f t="shared" si="14"/>
        <v/>
      </c>
    </row>
    <row r="386" spans="1:18" ht="15.75" x14ac:dyDescent="0.25">
      <c r="A386" s="5"/>
      <c r="B386" s="6"/>
      <c r="C386" s="5"/>
      <c r="D386" s="7"/>
      <c r="E386" s="5"/>
      <c r="F386" s="6"/>
      <c r="Q386" s="66" t="str">
        <f t="shared" si="13"/>
        <v/>
      </c>
      <c r="R386" s="30" t="str">
        <f t="shared" si="14"/>
        <v/>
      </c>
    </row>
    <row r="387" spans="1:18" ht="15.75" x14ac:dyDescent="0.25">
      <c r="A387" s="8"/>
      <c r="B387" s="9"/>
      <c r="C387" s="8"/>
      <c r="D387" s="22"/>
      <c r="E387" s="8"/>
      <c r="F387" s="9"/>
      <c r="Q387" s="48" t="str">
        <f t="shared" ref="Q387:Q450" si="15">IF(A387=$K$2,D387/60*$N$2,IF(A387=$K$3,D387/60*$N$3,IF(A387=$K$4,D387/60*$N$4,IF(A387=$K$5,D387/60*$N$5,IF(A387=$K$6,D387/60*$N$6,IF(A387=$K$7,D387/60*$N$7,IF(A387=$K$8,D387/60*$N$8,"")))))))</f>
        <v/>
      </c>
      <c r="R387" s="25" t="str">
        <f t="shared" ref="R387:R450" si="16">IF(D387="","",D387/$S$2)</f>
        <v/>
      </c>
    </row>
    <row r="388" spans="1:18" ht="15.75" x14ac:dyDescent="0.25">
      <c r="A388" s="5"/>
      <c r="B388" s="6"/>
      <c r="C388" s="5"/>
      <c r="D388" s="7"/>
      <c r="E388" s="5"/>
      <c r="F388" s="6"/>
      <c r="Q388" s="66" t="str">
        <f t="shared" si="15"/>
        <v/>
      </c>
      <c r="R388" s="30" t="str">
        <f t="shared" si="16"/>
        <v/>
      </c>
    </row>
    <row r="389" spans="1:18" ht="15.75" x14ac:dyDescent="0.25">
      <c r="A389" s="8"/>
      <c r="B389" s="9"/>
      <c r="C389" s="8"/>
      <c r="D389" s="22"/>
      <c r="E389" s="8"/>
      <c r="F389" s="9"/>
      <c r="Q389" s="48" t="str">
        <f t="shared" si="15"/>
        <v/>
      </c>
      <c r="R389" s="25" t="str">
        <f t="shared" si="16"/>
        <v/>
      </c>
    </row>
    <row r="390" spans="1:18" ht="15.75" x14ac:dyDescent="0.25">
      <c r="A390" s="5"/>
      <c r="B390" s="6"/>
      <c r="C390" s="5"/>
      <c r="D390" s="7"/>
      <c r="E390" s="5"/>
      <c r="F390" s="6"/>
      <c r="Q390" s="66" t="str">
        <f t="shared" si="15"/>
        <v/>
      </c>
      <c r="R390" s="30" t="str">
        <f t="shared" si="16"/>
        <v/>
      </c>
    </row>
    <row r="391" spans="1:18" ht="15.75" x14ac:dyDescent="0.25">
      <c r="A391" s="8"/>
      <c r="B391" s="9"/>
      <c r="C391" s="8"/>
      <c r="D391" s="22"/>
      <c r="E391" s="8"/>
      <c r="F391" s="9"/>
      <c r="Q391" s="48" t="str">
        <f t="shared" si="15"/>
        <v/>
      </c>
      <c r="R391" s="25" t="str">
        <f t="shared" si="16"/>
        <v/>
      </c>
    </row>
    <row r="392" spans="1:18" ht="15.75" x14ac:dyDescent="0.25">
      <c r="A392" s="5"/>
      <c r="B392" s="6"/>
      <c r="C392" s="5"/>
      <c r="D392" s="7"/>
      <c r="E392" s="5"/>
      <c r="F392" s="6"/>
      <c r="Q392" s="66" t="str">
        <f t="shared" si="15"/>
        <v/>
      </c>
      <c r="R392" s="30" t="str">
        <f t="shared" si="16"/>
        <v/>
      </c>
    </row>
    <row r="393" spans="1:18" ht="15.75" x14ac:dyDescent="0.25">
      <c r="A393" s="8"/>
      <c r="B393" s="9"/>
      <c r="C393" s="8"/>
      <c r="D393" s="22"/>
      <c r="E393" s="8"/>
      <c r="F393" s="9"/>
      <c r="Q393" s="48" t="str">
        <f t="shared" si="15"/>
        <v/>
      </c>
      <c r="R393" s="25" t="str">
        <f t="shared" si="16"/>
        <v/>
      </c>
    </row>
    <row r="394" spans="1:18" ht="15.75" x14ac:dyDescent="0.25">
      <c r="A394" s="5"/>
      <c r="B394" s="6"/>
      <c r="C394" s="5"/>
      <c r="D394" s="7"/>
      <c r="E394" s="5"/>
      <c r="F394" s="6"/>
      <c r="Q394" s="66" t="str">
        <f t="shared" si="15"/>
        <v/>
      </c>
      <c r="R394" s="30" t="str">
        <f t="shared" si="16"/>
        <v/>
      </c>
    </row>
    <row r="395" spans="1:18" ht="15.75" x14ac:dyDescent="0.25">
      <c r="A395" s="8"/>
      <c r="B395" s="9"/>
      <c r="C395" s="8"/>
      <c r="D395" s="22"/>
      <c r="E395" s="8"/>
      <c r="F395" s="9"/>
      <c r="Q395" s="48" t="str">
        <f t="shared" si="15"/>
        <v/>
      </c>
      <c r="R395" s="25" t="str">
        <f t="shared" si="16"/>
        <v/>
      </c>
    </row>
    <row r="396" spans="1:18" ht="15.75" x14ac:dyDescent="0.25">
      <c r="A396" s="5"/>
      <c r="B396" s="6"/>
      <c r="C396" s="5"/>
      <c r="D396" s="7"/>
      <c r="E396" s="5"/>
      <c r="F396" s="6"/>
      <c r="Q396" s="66" t="str">
        <f t="shared" si="15"/>
        <v/>
      </c>
      <c r="R396" s="30" t="str">
        <f t="shared" si="16"/>
        <v/>
      </c>
    </row>
    <row r="397" spans="1:18" ht="15.75" x14ac:dyDescent="0.25">
      <c r="A397" s="8"/>
      <c r="B397" s="9"/>
      <c r="C397" s="8"/>
      <c r="D397" s="22"/>
      <c r="E397" s="8"/>
      <c r="F397" s="9"/>
      <c r="Q397" s="48" t="str">
        <f t="shared" si="15"/>
        <v/>
      </c>
      <c r="R397" s="25" t="str">
        <f t="shared" si="16"/>
        <v/>
      </c>
    </row>
    <row r="398" spans="1:18" ht="15.75" x14ac:dyDescent="0.25">
      <c r="A398" s="5"/>
      <c r="B398" s="6"/>
      <c r="C398" s="5"/>
      <c r="D398" s="7"/>
      <c r="E398" s="5"/>
      <c r="F398" s="6"/>
      <c r="Q398" s="66" t="str">
        <f t="shared" si="15"/>
        <v/>
      </c>
      <c r="R398" s="30" t="str">
        <f t="shared" si="16"/>
        <v/>
      </c>
    </row>
    <row r="399" spans="1:18" ht="15.75" x14ac:dyDescent="0.25">
      <c r="A399" s="8"/>
      <c r="B399" s="9"/>
      <c r="C399" s="8"/>
      <c r="D399" s="22"/>
      <c r="E399" s="8"/>
      <c r="F399" s="9"/>
      <c r="Q399" s="48" t="str">
        <f t="shared" si="15"/>
        <v/>
      </c>
      <c r="R399" s="25" t="str">
        <f t="shared" si="16"/>
        <v/>
      </c>
    </row>
    <row r="400" spans="1:18" ht="15.75" x14ac:dyDescent="0.25">
      <c r="A400" s="5"/>
      <c r="B400" s="6"/>
      <c r="C400" s="5"/>
      <c r="D400" s="7"/>
      <c r="E400" s="5"/>
      <c r="F400" s="6"/>
      <c r="Q400" s="66" t="str">
        <f t="shared" si="15"/>
        <v/>
      </c>
      <c r="R400" s="30" t="str">
        <f t="shared" si="16"/>
        <v/>
      </c>
    </row>
    <row r="401" spans="1:18" ht="15.75" x14ac:dyDescent="0.25">
      <c r="A401" s="8"/>
      <c r="B401" s="9"/>
      <c r="C401" s="8"/>
      <c r="D401" s="22"/>
      <c r="E401" s="8"/>
      <c r="F401" s="9"/>
      <c r="Q401" s="48" t="str">
        <f t="shared" si="15"/>
        <v/>
      </c>
      <c r="R401" s="25" t="str">
        <f t="shared" si="16"/>
        <v/>
      </c>
    </row>
    <row r="402" spans="1:18" ht="15.75" x14ac:dyDescent="0.25">
      <c r="A402" s="5"/>
      <c r="B402" s="6"/>
      <c r="C402" s="5"/>
      <c r="D402" s="7"/>
      <c r="E402" s="5"/>
      <c r="F402" s="6"/>
      <c r="Q402" s="66" t="str">
        <f t="shared" si="15"/>
        <v/>
      </c>
      <c r="R402" s="30" t="str">
        <f t="shared" si="16"/>
        <v/>
      </c>
    </row>
    <row r="403" spans="1:18" ht="15.75" x14ac:dyDescent="0.25">
      <c r="A403" s="8"/>
      <c r="B403" s="9"/>
      <c r="C403" s="8"/>
      <c r="D403" s="22"/>
      <c r="E403" s="8"/>
      <c r="F403" s="9"/>
      <c r="Q403" s="48" t="str">
        <f t="shared" si="15"/>
        <v/>
      </c>
      <c r="R403" s="25" t="str">
        <f t="shared" si="16"/>
        <v/>
      </c>
    </row>
    <row r="404" spans="1:18" ht="15.75" x14ac:dyDescent="0.25">
      <c r="A404" s="5"/>
      <c r="B404" s="6"/>
      <c r="C404" s="5"/>
      <c r="D404" s="7"/>
      <c r="E404" s="5"/>
      <c r="F404" s="6"/>
      <c r="Q404" s="66" t="str">
        <f t="shared" si="15"/>
        <v/>
      </c>
      <c r="R404" s="30" t="str">
        <f t="shared" si="16"/>
        <v/>
      </c>
    </row>
    <row r="405" spans="1:18" ht="15.75" x14ac:dyDescent="0.25">
      <c r="A405" s="8"/>
      <c r="B405" s="9"/>
      <c r="C405" s="8"/>
      <c r="D405" s="22"/>
      <c r="E405" s="8"/>
      <c r="F405" s="9"/>
      <c r="Q405" s="48" t="str">
        <f t="shared" si="15"/>
        <v/>
      </c>
      <c r="R405" s="25" t="str">
        <f t="shared" si="16"/>
        <v/>
      </c>
    </row>
    <row r="406" spans="1:18" ht="15.75" x14ac:dyDescent="0.25">
      <c r="A406" s="5"/>
      <c r="B406" s="6"/>
      <c r="C406" s="5"/>
      <c r="D406" s="7"/>
      <c r="E406" s="5"/>
      <c r="F406" s="6"/>
      <c r="Q406" s="66" t="str">
        <f t="shared" si="15"/>
        <v/>
      </c>
      <c r="R406" s="30" t="str">
        <f t="shared" si="16"/>
        <v/>
      </c>
    </row>
    <row r="407" spans="1:18" ht="15.75" x14ac:dyDescent="0.25">
      <c r="A407" s="8"/>
      <c r="B407" s="9"/>
      <c r="C407" s="8"/>
      <c r="D407" s="22"/>
      <c r="E407" s="8"/>
      <c r="F407" s="9"/>
      <c r="Q407" s="48" t="str">
        <f t="shared" si="15"/>
        <v/>
      </c>
      <c r="R407" s="25" t="str">
        <f t="shared" si="16"/>
        <v/>
      </c>
    </row>
    <row r="408" spans="1:18" ht="15.75" x14ac:dyDescent="0.25">
      <c r="A408" s="5"/>
      <c r="B408" s="6"/>
      <c r="C408" s="5"/>
      <c r="D408" s="7"/>
      <c r="E408" s="5"/>
      <c r="F408" s="6"/>
      <c r="Q408" s="66" t="str">
        <f t="shared" si="15"/>
        <v/>
      </c>
      <c r="R408" s="30" t="str">
        <f t="shared" si="16"/>
        <v/>
      </c>
    </row>
    <row r="409" spans="1:18" ht="15.75" x14ac:dyDescent="0.25">
      <c r="A409" s="8"/>
      <c r="B409" s="9"/>
      <c r="C409" s="8"/>
      <c r="D409" s="22"/>
      <c r="E409" s="8"/>
      <c r="F409" s="9"/>
      <c r="Q409" s="48" t="str">
        <f t="shared" si="15"/>
        <v/>
      </c>
      <c r="R409" s="25" t="str">
        <f t="shared" si="16"/>
        <v/>
      </c>
    </row>
    <row r="410" spans="1:18" ht="15.75" x14ac:dyDescent="0.25">
      <c r="A410" s="5"/>
      <c r="B410" s="6"/>
      <c r="C410" s="5"/>
      <c r="D410" s="7"/>
      <c r="E410" s="5"/>
      <c r="F410" s="6"/>
      <c r="Q410" s="66" t="str">
        <f t="shared" si="15"/>
        <v/>
      </c>
      <c r="R410" s="30" t="str">
        <f t="shared" si="16"/>
        <v/>
      </c>
    </row>
    <row r="411" spans="1:18" ht="15.75" x14ac:dyDescent="0.25">
      <c r="A411" s="8"/>
      <c r="B411" s="9"/>
      <c r="C411" s="8"/>
      <c r="D411" s="22"/>
      <c r="E411" s="8"/>
      <c r="F411" s="9"/>
      <c r="Q411" s="48" t="str">
        <f t="shared" si="15"/>
        <v/>
      </c>
      <c r="R411" s="25" t="str">
        <f t="shared" si="16"/>
        <v/>
      </c>
    </row>
    <row r="412" spans="1:18" ht="15.75" x14ac:dyDescent="0.25">
      <c r="A412" s="5"/>
      <c r="B412" s="6"/>
      <c r="C412" s="5"/>
      <c r="D412" s="7"/>
      <c r="E412" s="5"/>
      <c r="F412" s="6"/>
      <c r="Q412" s="66" t="str">
        <f t="shared" si="15"/>
        <v/>
      </c>
      <c r="R412" s="30" t="str">
        <f t="shared" si="16"/>
        <v/>
      </c>
    </row>
    <row r="413" spans="1:18" ht="15.75" x14ac:dyDescent="0.25">
      <c r="A413" s="8"/>
      <c r="B413" s="9"/>
      <c r="C413" s="8"/>
      <c r="D413" s="22"/>
      <c r="E413" s="8"/>
      <c r="F413" s="9"/>
      <c r="Q413" s="48" t="str">
        <f t="shared" si="15"/>
        <v/>
      </c>
      <c r="R413" s="25" t="str">
        <f t="shared" si="16"/>
        <v/>
      </c>
    </row>
    <row r="414" spans="1:18" ht="15.75" x14ac:dyDescent="0.25">
      <c r="A414" s="5"/>
      <c r="B414" s="6"/>
      <c r="C414" s="5"/>
      <c r="D414" s="7"/>
      <c r="E414" s="5"/>
      <c r="F414" s="6"/>
      <c r="Q414" s="66" t="str">
        <f t="shared" si="15"/>
        <v/>
      </c>
      <c r="R414" s="30" t="str">
        <f t="shared" si="16"/>
        <v/>
      </c>
    </row>
    <row r="415" spans="1:18" ht="15.75" x14ac:dyDescent="0.25">
      <c r="A415" s="8"/>
      <c r="B415" s="9"/>
      <c r="C415" s="8"/>
      <c r="D415" s="22"/>
      <c r="E415" s="8"/>
      <c r="F415" s="9"/>
      <c r="Q415" s="48" t="str">
        <f t="shared" si="15"/>
        <v/>
      </c>
      <c r="R415" s="25" t="str">
        <f t="shared" si="16"/>
        <v/>
      </c>
    </row>
    <row r="416" spans="1:18" ht="15.75" x14ac:dyDescent="0.25">
      <c r="A416" s="5"/>
      <c r="B416" s="6"/>
      <c r="C416" s="5"/>
      <c r="D416" s="7"/>
      <c r="E416" s="5"/>
      <c r="F416" s="6"/>
      <c r="Q416" s="66" t="str">
        <f t="shared" si="15"/>
        <v/>
      </c>
      <c r="R416" s="30" t="str">
        <f t="shared" si="16"/>
        <v/>
      </c>
    </row>
    <row r="417" spans="1:18" ht="15.75" x14ac:dyDescent="0.25">
      <c r="A417" s="8"/>
      <c r="B417" s="9"/>
      <c r="C417" s="8"/>
      <c r="D417" s="22"/>
      <c r="E417" s="8"/>
      <c r="F417" s="9"/>
      <c r="Q417" s="48" t="str">
        <f t="shared" si="15"/>
        <v/>
      </c>
      <c r="R417" s="25" t="str">
        <f t="shared" si="16"/>
        <v/>
      </c>
    </row>
    <row r="418" spans="1:18" ht="15.75" x14ac:dyDescent="0.25">
      <c r="A418" s="5"/>
      <c r="B418" s="6"/>
      <c r="C418" s="5"/>
      <c r="D418" s="7"/>
      <c r="E418" s="5"/>
      <c r="F418" s="6"/>
      <c r="Q418" s="66" t="str">
        <f t="shared" si="15"/>
        <v/>
      </c>
      <c r="R418" s="30" t="str">
        <f t="shared" si="16"/>
        <v/>
      </c>
    </row>
    <row r="419" spans="1:18" ht="15.75" x14ac:dyDescent="0.25">
      <c r="A419" s="8"/>
      <c r="B419" s="9"/>
      <c r="C419" s="8"/>
      <c r="D419" s="22"/>
      <c r="E419" s="8"/>
      <c r="F419" s="9"/>
      <c r="Q419" s="48" t="str">
        <f t="shared" si="15"/>
        <v/>
      </c>
      <c r="R419" s="25" t="str">
        <f t="shared" si="16"/>
        <v/>
      </c>
    </row>
    <row r="420" spans="1:18" ht="15.75" x14ac:dyDescent="0.25">
      <c r="A420" s="5"/>
      <c r="B420" s="6"/>
      <c r="C420" s="5"/>
      <c r="D420" s="7"/>
      <c r="E420" s="5"/>
      <c r="F420" s="6"/>
      <c r="Q420" s="66" t="str">
        <f t="shared" si="15"/>
        <v/>
      </c>
      <c r="R420" s="30" t="str">
        <f t="shared" si="16"/>
        <v/>
      </c>
    </row>
    <row r="421" spans="1:18" ht="15.75" x14ac:dyDescent="0.25">
      <c r="A421" s="8"/>
      <c r="B421" s="9"/>
      <c r="C421" s="8"/>
      <c r="D421" s="22"/>
      <c r="E421" s="8"/>
      <c r="F421" s="9"/>
      <c r="Q421" s="48" t="str">
        <f t="shared" si="15"/>
        <v/>
      </c>
      <c r="R421" s="25" t="str">
        <f t="shared" si="16"/>
        <v/>
      </c>
    </row>
    <row r="422" spans="1:18" ht="15.75" x14ac:dyDescent="0.25">
      <c r="A422" s="5"/>
      <c r="B422" s="6"/>
      <c r="C422" s="5"/>
      <c r="D422" s="7"/>
      <c r="E422" s="5"/>
      <c r="F422" s="6"/>
      <c r="Q422" s="66" t="str">
        <f t="shared" si="15"/>
        <v/>
      </c>
      <c r="R422" s="30" t="str">
        <f t="shared" si="16"/>
        <v/>
      </c>
    </row>
    <row r="423" spans="1:18" ht="15.75" x14ac:dyDescent="0.25">
      <c r="A423" s="8"/>
      <c r="B423" s="9"/>
      <c r="C423" s="8"/>
      <c r="D423" s="22"/>
      <c r="E423" s="8"/>
      <c r="F423" s="9"/>
      <c r="Q423" s="48" t="str">
        <f t="shared" si="15"/>
        <v/>
      </c>
      <c r="R423" s="25" t="str">
        <f t="shared" si="16"/>
        <v/>
      </c>
    </row>
    <row r="424" spans="1:18" ht="15.75" x14ac:dyDescent="0.25">
      <c r="A424" s="5"/>
      <c r="B424" s="6"/>
      <c r="C424" s="5"/>
      <c r="D424" s="7"/>
      <c r="E424" s="5"/>
      <c r="F424" s="6"/>
      <c r="Q424" s="66" t="str">
        <f t="shared" si="15"/>
        <v/>
      </c>
      <c r="R424" s="30" t="str">
        <f t="shared" si="16"/>
        <v/>
      </c>
    </row>
    <row r="425" spans="1:18" ht="15.75" x14ac:dyDescent="0.25">
      <c r="A425" s="8"/>
      <c r="B425" s="9"/>
      <c r="C425" s="8"/>
      <c r="D425" s="22"/>
      <c r="E425" s="8"/>
      <c r="F425" s="9"/>
      <c r="Q425" s="48" t="str">
        <f t="shared" si="15"/>
        <v/>
      </c>
      <c r="R425" s="25" t="str">
        <f t="shared" si="16"/>
        <v/>
      </c>
    </row>
    <row r="426" spans="1:18" ht="15.75" x14ac:dyDescent="0.25">
      <c r="A426" s="5"/>
      <c r="B426" s="6"/>
      <c r="C426" s="5"/>
      <c r="D426" s="7"/>
      <c r="E426" s="5"/>
      <c r="F426" s="6"/>
      <c r="Q426" s="66" t="str">
        <f t="shared" si="15"/>
        <v/>
      </c>
      <c r="R426" s="30" t="str">
        <f t="shared" si="16"/>
        <v/>
      </c>
    </row>
    <row r="427" spans="1:18" ht="15.75" x14ac:dyDescent="0.25">
      <c r="A427" s="8"/>
      <c r="B427" s="9"/>
      <c r="C427" s="8"/>
      <c r="D427" s="22"/>
      <c r="E427" s="8"/>
      <c r="F427" s="9"/>
      <c r="Q427" s="48" t="str">
        <f t="shared" si="15"/>
        <v/>
      </c>
      <c r="R427" s="25" t="str">
        <f t="shared" si="16"/>
        <v/>
      </c>
    </row>
    <row r="428" spans="1:18" ht="15.75" x14ac:dyDescent="0.25">
      <c r="A428" s="5"/>
      <c r="B428" s="6"/>
      <c r="C428" s="5"/>
      <c r="D428" s="7"/>
      <c r="E428" s="5"/>
      <c r="F428" s="6"/>
      <c r="Q428" s="66" t="str">
        <f t="shared" si="15"/>
        <v/>
      </c>
      <c r="R428" s="30" t="str">
        <f t="shared" si="16"/>
        <v/>
      </c>
    </row>
    <row r="429" spans="1:18" ht="15.75" x14ac:dyDescent="0.25">
      <c r="A429" s="8"/>
      <c r="B429" s="9"/>
      <c r="C429" s="8"/>
      <c r="D429" s="22"/>
      <c r="E429" s="8"/>
      <c r="F429" s="9"/>
      <c r="Q429" s="48" t="str">
        <f t="shared" si="15"/>
        <v/>
      </c>
      <c r="R429" s="25" t="str">
        <f t="shared" si="16"/>
        <v/>
      </c>
    </row>
    <row r="430" spans="1:18" ht="15.75" x14ac:dyDescent="0.25">
      <c r="A430" s="5"/>
      <c r="B430" s="6"/>
      <c r="C430" s="5"/>
      <c r="D430" s="7"/>
      <c r="E430" s="5"/>
      <c r="F430" s="6"/>
      <c r="Q430" s="66" t="str">
        <f t="shared" si="15"/>
        <v/>
      </c>
      <c r="R430" s="30" t="str">
        <f t="shared" si="16"/>
        <v/>
      </c>
    </row>
    <row r="431" spans="1:18" ht="15.75" x14ac:dyDescent="0.25">
      <c r="A431" s="8"/>
      <c r="B431" s="9"/>
      <c r="C431" s="8"/>
      <c r="D431" s="22"/>
      <c r="E431" s="8"/>
      <c r="F431" s="9"/>
      <c r="Q431" s="48" t="str">
        <f t="shared" si="15"/>
        <v/>
      </c>
      <c r="R431" s="25" t="str">
        <f t="shared" si="16"/>
        <v/>
      </c>
    </row>
    <row r="432" spans="1:18" ht="15.75" x14ac:dyDescent="0.25">
      <c r="A432" s="5"/>
      <c r="B432" s="6"/>
      <c r="C432" s="5"/>
      <c r="D432" s="7"/>
      <c r="E432" s="5"/>
      <c r="F432" s="6"/>
      <c r="Q432" s="66" t="str">
        <f t="shared" si="15"/>
        <v/>
      </c>
      <c r="R432" s="30" t="str">
        <f t="shared" si="16"/>
        <v/>
      </c>
    </row>
    <row r="433" spans="1:18" ht="15.75" x14ac:dyDescent="0.25">
      <c r="A433" s="8"/>
      <c r="B433" s="9"/>
      <c r="C433" s="8"/>
      <c r="D433" s="22"/>
      <c r="E433" s="8"/>
      <c r="F433" s="9"/>
      <c r="Q433" s="48" t="str">
        <f t="shared" si="15"/>
        <v/>
      </c>
      <c r="R433" s="25" t="str">
        <f t="shared" si="16"/>
        <v/>
      </c>
    </row>
    <row r="434" spans="1:18" ht="15.75" x14ac:dyDescent="0.25">
      <c r="A434" s="5"/>
      <c r="B434" s="6"/>
      <c r="C434" s="5"/>
      <c r="D434" s="7"/>
      <c r="E434" s="5"/>
      <c r="F434" s="6"/>
      <c r="Q434" s="66" t="str">
        <f t="shared" si="15"/>
        <v/>
      </c>
      <c r="R434" s="30" t="str">
        <f t="shared" si="16"/>
        <v/>
      </c>
    </row>
    <row r="435" spans="1:18" ht="15.75" x14ac:dyDescent="0.25">
      <c r="A435" s="8"/>
      <c r="B435" s="9"/>
      <c r="C435" s="8"/>
      <c r="D435" s="22"/>
      <c r="E435" s="8"/>
      <c r="F435" s="9"/>
      <c r="Q435" s="48" t="str">
        <f t="shared" si="15"/>
        <v/>
      </c>
      <c r="R435" s="25" t="str">
        <f t="shared" si="16"/>
        <v/>
      </c>
    </row>
    <row r="436" spans="1:18" ht="15.75" x14ac:dyDescent="0.25">
      <c r="A436" s="5"/>
      <c r="B436" s="6"/>
      <c r="C436" s="5"/>
      <c r="D436" s="7"/>
      <c r="E436" s="5"/>
      <c r="F436" s="6"/>
      <c r="Q436" s="66" t="str">
        <f t="shared" si="15"/>
        <v/>
      </c>
      <c r="R436" s="30" t="str">
        <f t="shared" si="16"/>
        <v/>
      </c>
    </row>
    <row r="437" spans="1:18" ht="15.75" x14ac:dyDescent="0.25">
      <c r="A437" s="8"/>
      <c r="B437" s="9"/>
      <c r="C437" s="8"/>
      <c r="D437" s="22"/>
      <c r="E437" s="8"/>
      <c r="F437" s="9"/>
      <c r="Q437" s="48" t="str">
        <f t="shared" si="15"/>
        <v/>
      </c>
      <c r="R437" s="25" t="str">
        <f t="shared" si="16"/>
        <v/>
      </c>
    </row>
    <row r="438" spans="1:18" ht="15.75" x14ac:dyDescent="0.25">
      <c r="A438" s="5"/>
      <c r="B438" s="6"/>
      <c r="C438" s="5"/>
      <c r="D438" s="7"/>
      <c r="E438" s="5"/>
      <c r="F438" s="6"/>
      <c r="Q438" s="66" t="str">
        <f t="shared" si="15"/>
        <v/>
      </c>
      <c r="R438" s="30" t="str">
        <f t="shared" si="16"/>
        <v/>
      </c>
    </row>
    <row r="439" spans="1:18" ht="15.75" x14ac:dyDescent="0.25">
      <c r="A439" s="8"/>
      <c r="B439" s="9"/>
      <c r="C439" s="8"/>
      <c r="D439" s="22"/>
      <c r="E439" s="8"/>
      <c r="F439" s="9"/>
      <c r="Q439" s="48" t="str">
        <f t="shared" si="15"/>
        <v/>
      </c>
      <c r="R439" s="25" t="str">
        <f t="shared" si="16"/>
        <v/>
      </c>
    </row>
    <row r="440" spans="1:18" ht="15.75" x14ac:dyDescent="0.25">
      <c r="A440" s="5"/>
      <c r="B440" s="6"/>
      <c r="C440" s="5"/>
      <c r="D440" s="7"/>
      <c r="E440" s="5"/>
      <c r="F440" s="6"/>
      <c r="Q440" s="66" t="str">
        <f t="shared" si="15"/>
        <v/>
      </c>
      <c r="R440" s="30" t="str">
        <f t="shared" si="16"/>
        <v/>
      </c>
    </row>
    <row r="441" spans="1:18" ht="15.75" x14ac:dyDescent="0.25">
      <c r="A441" s="8"/>
      <c r="B441" s="9"/>
      <c r="C441" s="8"/>
      <c r="D441" s="22"/>
      <c r="E441" s="8"/>
      <c r="F441" s="9"/>
      <c r="Q441" s="48" t="str">
        <f t="shared" si="15"/>
        <v/>
      </c>
      <c r="R441" s="25" t="str">
        <f t="shared" si="16"/>
        <v/>
      </c>
    </row>
    <row r="442" spans="1:18" ht="15.75" x14ac:dyDescent="0.25">
      <c r="A442" s="5"/>
      <c r="B442" s="6"/>
      <c r="C442" s="5"/>
      <c r="D442" s="7"/>
      <c r="E442" s="5"/>
      <c r="F442" s="6"/>
      <c r="Q442" s="66" t="str">
        <f t="shared" si="15"/>
        <v/>
      </c>
      <c r="R442" s="30" t="str">
        <f t="shared" si="16"/>
        <v/>
      </c>
    </row>
    <row r="443" spans="1:18" ht="15.75" x14ac:dyDescent="0.25">
      <c r="A443" s="8"/>
      <c r="B443" s="9"/>
      <c r="C443" s="8"/>
      <c r="D443" s="22"/>
      <c r="E443" s="8"/>
      <c r="F443" s="9"/>
      <c r="Q443" s="48" t="str">
        <f t="shared" si="15"/>
        <v/>
      </c>
      <c r="R443" s="25" t="str">
        <f t="shared" si="16"/>
        <v/>
      </c>
    </row>
    <row r="444" spans="1:18" ht="15.75" x14ac:dyDescent="0.25">
      <c r="A444" s="5"/>
      <c r="B444" s="6"/>
      <c r="C444" s="5"/>
      <c r="D444" s="7"/>
      <c r="E444" s="5"/>
      <c r="F444" s="6"/>
      <c r="Q444" s="66" t="str">
        <f t="shared" si="15"/>
        <v/>
      </c>
      <c r="R444" s="30" t="str">
        <f t="shared" si="16"/>
        <v/>
      </c>
    </row>
    <row r="445" spans="1:18" ht="15.75" x14ac:dyDescent="0.25">
      <c r="A445" s="8"/>
      <c r="B445" s="9"/>
      <c r="C445" s="8"/>
      <c r="D445" s="22"/>
      <c r="E445" s="8"/>
      <c r="F445" s="9"/>
      <c r="Q445" s="48" t="str">
        <f t="shared" si="15"/>
        <v/>
      </c>
      <c r="R445" s="25" t="str">
        <f t="shared" si="16"/>
        <v/>
      </c>
    </row>
    <row r="446" spans="1:18" ht="15.75" x14ac:dyDescent="0.25">
      <c r="A446" s="5"/>
      <c r="B446" s="6"/>
      <c r="C446" s="5"/>
      <c r="D446" s="7"/>
      <c r="E446" s="5"/>
      <c r="F446" s="6"/>
      <c r="Q446" s="66" t="str">
        <f t="shared" si="15"/>
        <v/>
      </c>
      <c r="R446" s="30" t="str">
        <f t="shared" si="16"/>
        <v/>
      </c>
    </row>
    <row r="447" spans="1:18" ht="15.75" x14ac:dyDescent="0.25">
      <c r="A447" s="8"/>
      <c r="B447" s="9"/>
      <c r="C447" s="8"/>
      <c r="D447" s="22"/>
      <c r="E447" s="8"/>
      <c r="F447" s="9"/>
      <c r="Q447" s="48" t="str">
        <f t="shared" si="15"/>
        <v/>
      </c>
      <c r="R447" s="25" t="str">
        <f t="shared" si="16"/>
        <v/>
      </c>
    </row>
    <row r="448" spans="1:18" ht="15.75" x14ac:dyDescent="0.25">
      <c r="A448" s="5"/>
      <c r="B448" s="6"/>
      <c r="C448" s="5"/>
      <c r="D448" s="7"/>
      <c r="E448" s="5"/>
      <c r="F448" s="6"/>
      <c r="Q448" s="66" t="str">
        <f t="shared" si="15"/>
        <v/>
      </c>
      <c r="R448" s="30" t="str">
        <f t="shared" si="16"/>
        <v/>
      </c>
    </row>
    <row r="449" spans="1:18" ht="15.75" x14ac:dyDescent="0.25">
      <c r="A449" s="8"/>
      <c r="B449" s="9"/>
      <c r="C449" s="8"/>
      <c r="D449" s="22"/>
      <c r="E449" s="8"/>
      <c r="F449" s="9"/>
      <c r="Q449" s="48" t="str">
        <f t="shared" si="15"/>
        <v/>
      </c>
      <c r="R449" s="25" t="str">
        <f t="shared" si="16"/>
        <v/>
      </c>
    </row>
    <row r="450" spans="1:18" ht="15.75" x14ac:dyDescent="0.25">
      <c r="A450" s="5"/>
      <c r="B450" s="6"/>
      <c r="C450" s="5"/>
      <c r="D450" s="7"/>
      <c r="E450" s="5"/>
      <c r="F450" s="6"/>
      <c r="Q450" s="66" t="str">
        <f t="shared" si="15"/>
        <v/>
      </c>
      <c r="R450" s="30" t="str">
        <f t="shared" si="16"/>
        <v/>
      </c>
    </row>
    <row r="451" spans="1:18" ht="15.75" x14ac:dyDescent="0.25">
      <c r="A451" s="8"/>
      <c r="B451" s="9"/>
      <c r="C451" s="8"/>
      <c r="D451" s="22"/>
      <c r="E451" s="8"/>
      <c r="F451" s="9"/>
      <c r="Q451" s="48" t="str">
        <f t="shared" ref="Q451:Q514" si="17">IF(A451=$K$2,D451/60*$N$2,IF(A451=$K$3,D451/60*$N$3,IF(A451=$K$4,D451/60*$N$4,IF(A451=$K$5,D451/60*$N$5,IF(A451=$K$6,D451/60*$N$6,IF(A451=$K$7,D451/60*$N$7,IF(A451=$K$8,D451/60*$N$8,"")))))))</f>
        <v/>
      </c>
      <c r="R451" s="25" t="str">
        <f t="shared" ref="R451:R514" si="18">IF(D451="","",D451/$S$2)</f>
        <v/>
      </c>
    </row>
    <row r="452" spans="1:18" ht="15.75" x14ac:dyDescent="0.25">
      <c r="A452" s="5"/>
      <c r="B452" s="6"/>
      <c r="C452" s="5"/>
      <c r="D452" s="7"/>
      <c r="E452" s="5"/>
      <c r="F452" s="6"/>
      <c r="Q452" s="66" t="str">
        <f t="shared" si="17"/>
        <v/>
      </c>
      <c r="R452" s="30" t="str">
        <f t="shared" si="18"/>
        <v/>
      </c>
    </row>
    <row r="453" spans="1:18" ht="15.75" x14ac:dyDescent="0.25">
      <c r="A453" s="8"/>
      <c r="B453" s="9"/>
      <c r="C453" s="8"/>
      <c r="D453" s="22"/>
      <c r="E453" s="8"/>
      <c r="F453" s="9"/>
      <c r="Q453" s="48" t="str">
        <f t="shared" si="17"/>
        <v/>
      </c>
      <c r="R453" s="25" t="str">
        <f t="shared" si="18"/>
        <v/>
      </c>
    </row>
    <row r="454" spans="1:18" ht="15.75" x14ac:dyDescent="0.25">
      <c r="A454" s="5"/>
      <c r="B454" s="6"/>
      <c r="C454" s="5"/>
      <c r="D454" s="7"/>
      <c r="E454" s="5"/>
      <c r="F454" s="6"/>
      <c r="Q454" s="66" t="str">
        <f t="shared" si="17"/>
        <v/>
      </c>
      <c r="R454" s="30" t="str">
        <f t="shared" si="18"/>
        <v/>
      </c>
    </row>
    <row r="455" spans="1:18" ht="15.75" x14ac:dyDescent="0.25">
      <c r="A455" s="8"/>
      <c r="B455" s="9"/>
      <c r="C455" s="8"/>
      <c r="D455" s="22"/>
      <c r="E455" s="8"/>
      <c r="F455" s="9"/>
      <c r="Q455" s="48" t="str">
        <f t="shared" si="17"/>
        <v/>
      </c>
      <c r="R455" s="25" t="str">
        <f t="shared" si="18"/>
        <v/>
      </c>
    </row>
    <row r="456" spans="1:18" ht="15.75" x14ac:dyDescent="0.25">
      <c r="A456" s="5"/>
      <c r="B456" s="6"/>
      <c r="C456" s="5"/>
      <c r="D456" s="7"/>
      <c r="E456" s="5"/>
      <c r="F456" s="6"/>
      <c r="Q456" s="66" t="str">
        <f t="shared" si="17"/>
        <v/>
      </c>
      <c r="R456" s="30" t="str">
        <f t="shared" si="18"/>
        <v/>
      </c>
    </row>
    <row r="457" spans="1:18" ht="15.75" x14ac:dyDescent="0.25">
      <c r="A457" s="8"/>
      <c r="B457" s="9"/>
      <c r="C457" s="8"/>
      <c r="D457" s="22"/>
      <c r="E457" s="8"/>
      <c r="F457" s="9"/>
      <c r="Q457" s="48" t="str">
        <f t="shared" si="17"/>
        <v/>
      </c>
      <c r="R457" s="25" t="str">
        <f t="shared" si="18"/>
        <v/>
      </c>
    </row>
    <row r="458" spans="1:18" ht="15.75" x14ac:dyDescent="0.25">
      <c r="A458" s="5"/>
      <c r="B458" s="6"/>
      <c r="C458" s="5"/>
      <c r="D458" s="7"/>
      <c r="E458" s="5"/>
      <c r="F458" s="6"/>
      <c r="Q458" s="66" t="str">
        <f t="shared" si="17"/>
        <v/>
      </c>
      <c r="R458" s="30" t="str">
        <f t="shared" si="18"/>
        <v/>
      </c>
    </row>
    <row r="459" spans="1:18" ht="15.75" x14ac:dyDescent="0.25">
      <c r="A459" s="8"/>
      <c r="B459" s="9"/>
      <c r="C459" s="8"/>
      <c r="D459" s="22"/>
      <c r="E459" s="8"/>
      <c r="F459" s="9"/>
      <c r="Q459" s="48" t="str">
        <f t="shared" si="17"/>
        <v/>
      </c>
      <c r="R459" s="25" t="str">
        <f t="shared" si="18"/>
        <v/>
      </c>
    </row>
    <row r="460" spans="1:18" ht="15.75" x14ac:dyDescent="0.25">
      <c r="A460" s="5"/>
      <c r="B460" s="6"/>
      <c r="C460" s="5"/>
      <c r="D460" s="7"/>
      <c r="E460" s="5"/>
      <c r="F460" s="6"/>
      <c r="Q460" s="66" t="str">
        <f t="shared" si="17"/>
        <v/>
      </c>
      <c r="R460" s="30" t="str">
        <f t="shared" si="18"/>
        <v/>
      </c>
    </row>
    <row r="461" spans="1:18" ht="15.75" x14ac:dyDescent="0.25">
      <c r="A461" s="8"/>
      <c r="B461" s="9"/>
      <c r="C461" s="8"/>
      <c r="D461" s="22"/>
      <c r="E461" s="8"/>
      <c r="F461" s="9"/>
      <c r="Q461" s="48" t="str">
        <f t="shared" si="17"/>
        <v/>
      </c>
      <c r="R461" s="25" t="str">
        <f t="shared" si="18"/>
        <v/>
      </c>
    </row>
    <row r="462" spans="1:18" ht="15.75" x14ac:dyDescent="0.25">
      <c r="A462" s="5"/>
      <c r="B462" s="6"/>
      <c r="C462" s="5"/>
      <c r="D462" s="7"/>
      <c r="E462" s="5"/>
      <c r="F462" s="6"/>
      <c r="Q462" s="66" t="str">
        <f t="shared" si="17"/>
        <v/>
      </c>
      <c r="R462" s="30" t="str">
        <f t="shared" si="18"/>
        <v/>
      </c>
    </row>
    <row r="463" spans="1:18" ht="15.75" x14ac:dyDescent="0.25">
      <c r="A463" s="8"/>
      <c r="B463" s="9"/>
      <c r="C463" s="8"/>
      <c r="D463" s="22"/>
      <c r="E463" s="8"/>
      <c r="F463" s="9"/>
      <c r="Q463" s="48" t="str">
        <f t="shared" si="17"/>
        <v/>
      </c>
      <c r="R463" s="25" t="str">
        <f t="shared" si="18"/>
        <v/>
      </c>
    </row>
    <row r="464" spans="1:18" ht="15.75" x14ac:dyDescent="0.25">
      <c r="A464" s="5"/>
      <c r="B464" s="6"/>
      <c r="C464" s="5"/>
      <c r="D464" s="7"/>
      <c r="E464" s="5"/>
      <c r="F464" s="6"/>
      <c r="Q464" s="66" t="str">
        <f t="shared" si="17"/>
        <v/>
      </c>
      <c r="R464" s="30" t="str">
        <f t="shared" si="18"/>
        <v/>
      </c>
    </row>
    <row r="465" spans="1:18" ht="15.75" x14ac:dyDescent="0.25">
      <c r="A465" s="8"/>
      <c r="B465" s="9"/>
      <c r="C465" s="8"/>
      <c r="D465" s="22"/>
      <c r="E465" s="8"/>
      <c r="F465" s="9"/>
      <c r="Q465" s="48" t="str">
        <f t="shared" si="17"/>
        <v/>
      </c>
      <c r="R465" s="25" t="str">
        <f t="shared" si="18"/>
        <v/>
      </c>
    </row>
    <row r="466" spans="1:18" ht="15.75" x14ac:dyDescent="0.25">
      <c r="A466" s="5"/>
      <c r="B466" s="6"/>
      <c r="C466" s="5"/>
      <c r="D466" s="7"/>
      <c r="E466" s="5"/>
      <c r="F466" s="6"/>
      <c r="Q466" s="66" t="str">
        <f t="shared" si="17"/>
        <v/>
      </c>
      <c r="R466" s="30" t="str">
        <f t="shared" si="18"/>
        <v/>
      </c>
    </row>
    <row r="467" spans="1:18" ht="15.75" x14ac:dyDescent="0.25">
      <c r="A467" s="8"/>
      <c r="B467" s="9"/>
      <c r="C467" s="8"/>
      <c r="D467" s="22"/>
      <c r="E467" s="8"/>
      <c r="F467" s="9"/>
      <c r="Q467" s="48" t="str">
        <f t="shared" si="17"/>
        <v/>
      </c>
      <c r="R467" s="25" t="str">
        <f t="shared" si="18"/>
        <v/>
      </c>
    </row>
    <row r="468" spans="1:18" ht="15.75" x14ac:dyDescent="0.25">
      <c r="A468" s="5"/>
      <c r="B468" s="6"/>
      <c r="C468" s="5"/>
      <c r="D468" s="7"/>
      <c r="E468" s="5"/>
      <c r="F468" s="6"/>
      <c r="Q468" s="66" t="str">
        <f t="shared" si="17"/>
        <v/>
      </c>
      <c r="R468" s="30" t="str">
        <f t="shared" si="18"/>
        <v/>
      </c>
    </row>
    <row r="469" spans="1:18" ht="15.75" x14ac:dyDescent="0.25">
      <c r="A469" s="8"/>
      <c r="B469" s="9"/>
      <c r="C469" s="8"/>
      <c r="D469" s="22"/>
      <c r="E469" s="8"/>
      <c r="F469" s="9"/>
      <c r="Q469" s="48" t="str">
        <f t="shared" si="17"/>
        <v/>
      </c>
      <c r="R469" s="25" t="str">
        <f t="shared" si="18"/>
        <v/>
      </c>
    </row>
    <row r="470" spans="1:18" ht="15.75" x14ac:dyDescent="0.25">
      <c r="A470" s="5"/>
      <c r="B470" s="6"/>
      <c r="C470" s="5"/>
      <c r="D470" s="7"/>
      <c r="E470" s="5"/>
      <c r="F470" s="6"/>
      <c r="Q470" s="66" t="str">
        <f t="shared" si="17"/>
        <v/>
      </c>
      <c r="R470" s="30" t="str">
        <f t="shared" si="18"/>
        <v/>
      </c>
    </row>
    <row r="471" spans="1:18" ht="15.75" x14ac:dyDescent="0.25">
      <c r="A471" s="8"/>
      <c r="B471" s="9"/>
      <c r="C471" s="8"/>
      <c r="D471" s="22"/>
      <c r="E471" s="8"/>
      <c r="F471" s="9"/>
      <c r="Q471" s="48" t="str">
        <f t="shared" si="17"/>
        <v/>
      </c>
      <c r="R471" s="25" t="str">
        <f t="shared" si="18"/>
        <v/>
      </c>
    </row>
    <row r="472" spans="1:18" ht="15.75" x14ac:dyDescent="0.25">
      <c r="A472" s="5"/>
      <c r="B472" s="6"/>
      <c r="C472" s="5"/>
      <c r="D472" s="7"/>
      <c r="E472" s="5"/>
      <c r="F472" s="6"/>
      <c r="Q472" s="66" t="str">
        <f t="shared" si="17"/>
        <v/>
      </c>
      <c r="R472" s="30" t="str">
        <f t="shared" si="18"/>
        <v/>
      </c>
    </row>
    <row r="473" spans="1:18" ht="15.75" x14ac:dyDescent="0.25">
      <c r="A473" s="8"/>
      <c r="B473" s="9"/>
      <c r="C473" s="8"/>
      <c r="D473" s="22"/>
      <c r="E473" s="8"/>
      <c r="F473" s="9"/>
      <c r="Q473" s="48" t="str">
        <f t="shared" si="17"/>
        <v/>
      </c>
      <c r="R473" s="25" t="str">
        <f t="shared" si="18"/>
        <v/>
      </c>
    </row>
    <row r="474" spans="1:18" ht="15.75" x14ac:dyDescent="0.25">
      <c r="A474" s="5"/>
      <c r="B474" s="6"/>
      <c r="C474" s="5"/>
      <c r="D474" s="7"/>
      <c r="E474" s="5"/>
      <c r="F474" s="6"/>
      <c r="Q474" s="66" t="str">
        <f t="shared" si="17"/>
        <v/>
      </c>
      <c r="R474" s="30" t="str">
        <f t="shared" si="18"/>
        <v/>
      </c>
    </row>
    <row r="475" spans="1:18" ht="15.75" x14ac:dyDescent="0.25">
      <c r="A475" s="8"/>
      <c r="B475" s="9"/>
      <c r="C475" s="8"/>
      <c r="D475" s="22"/>
      <c r="E475" s="8"/>
      <c r="F475" s="9"/>
      <c r="Q475" s="48" t="str">
        <f t="shared" si="17"/>
        <v/>
      </c>
      <c r="R475" s="25" t="str">
        <f t="shared" si="18"/>
        <v/>
      </c>
    </row>
    <row r="476" spans="1:18" ht="15.75" x14ac:dyDescent="0.25">
      <c r="A476" s="5"/>
      <c r="B476" s="6"/>
      <c r="C476" s="5"/>
      <c r="D476" s="7"/>
      <c r="E476" s="5"/>
      <c r="F476" s="6"/>
      <c r="Q476" s="66" t="str">
        <f t="shared" si="17"/>
        <v/>
      </c>
      <c r="R476" s="30" t="str">
        <f t="shared" si="18"/>
        <v/>
      </c>
    </row>
    <row r="477" spans="1:18" ht="15.75" x14ac:dyDescent="0.25">
      <c r="A477" s="8"/>
      <c r="B477" s="9"/>
      <c r="C477" s="8"/>
      <c r="D477" s="22"/>
      <c r="E477" s="8"/>
      <c r="F477" s="9"/>
      <c r="Q477" s="48" t="str">
        <f t="shared" si="17"/>
        <v/>
      </c>
      <c r="R477" s="25" t="str">
        <f t="shared" si="18"/>
        <v/>
      </c>
    </row>
    <row r="478" spans="1:18" ht="15.75" x14ac:dyDescent="0.25">
      <c r="A478" s="5"/>
      <c r="B478" s="6"/>
      <c r="C478" s="5"/>
      <c r="D478" s="7"/>
      <c r="E478" s="5"/>
      <c r="F478" s="6"/>
      <c r="Q478" s="66" t="str">
        <f t="shared" si="17"/>
        <v/>
      </c>
      <c r="R478" s="30" t="str">
        <f t="shared" si="18"/>
        <v/>
      </c>
    </row>
    <row r="479" spans="1:18" ht="15.75" x14ac:dyDescent="0.25">
      <c r="A479" s="8"/>
      <c r="B479" s="9"/>
      <c r="C479" s="8"/>
      <c r="D479" s="22"/>
      <c r="E479" s="8"/>
      <c r="F479" s="9"/>
      <c r="Q479" s="48" t="str">
        <f t="shared" si="17"/>
        <v/>
      </c>
      <c r="R479" s="25" t="str">
        <f t="shared" si="18"/>
        <v/>
      </c>
    </row>
    <row r="480" spans="1:18" ht="15.75" x14ac:dyDescent="0.25">
      <c r="A480" s="5"/>
      <c r="B480" s="6"/>
      <c r="C480" s="5"/>
      <c r="D480" s="7"/>
      <c r="E480" s="5"/>
      <c r="F480" s="6"/>
      <c r="Q480" s="66" t="str">
        <f t="shared" si="17"/>
        <v/>
      </c>
      <c r="R480" s="30" t="str">
        <f t="shared" si="18"/>
        <v/>
      </c>
    </row>
    <row r="481" spans="1:18" ht="15.75" x14ac:dyDescent="0.25">
      <c r="A481" s="8"/>
      <c r="B481" s="9"/>
      <c r="C481" s="8"/>
      <c r="D481" s="22"/>
      <c r="E481" s="8"/>
      <c r="F481" s="9"/>
      <c r="Q481" s="48" t="str">
        <f t="shared" si="17"/>
        <v/>
      </c>
      <c r="R481" s="25" t="str">
        <f t="shared" si="18"/>
        <v/>
      </c>
    </row>
    <row r="482" spans="1:18" ht="15.75" x14ac:dyDescent="0.25">
      <c r="A482" s="5"/>
      <c r="B482" s="6"/>
      <c r="C482" s="5"/>
      <c r="D482" s="7"/>
      <c r="E482" s="5"/>
      <c r="F482" s="6"/>
      <c r="Q482" s="66" t="str">
        <f t="shared" si="17"/>
        <v/>
      </c>
      <c r="R482" s="30" t="str">
        <f t="shared" si="18"/>
        <v/>
      </c>
    </row>
    <row r="483" spans="1:18" ht="15.75" x14ac:dyDescent="0.25">
      <c r="A483" s="8"/>
      <c r="B483" s="9"/>
      <c r="C483" s="8"/>
      <c r="D483" s="22"/>
      <c r="E483" s="8"/>
      <c r="F483" s="9"/>
      <c r="Q483" s="48" t="str">
        <f t="shared" si="17"/>
        <v/>
      </c>
      <c r="R483" s="25" t="str">
        <f t="shared" si="18"/>
        <v/>
      </c>
    </row>
    <row r="484" spans="1:18" ht="15.75" x14ac:dyDescent="0.25">
      <c r="A484" s="5"/>
      <c r="B484" s="6"/>
      <c r="C484" s="5"/>
      <c r="D484" s="7"/>
      <c r="E484" s="5"/>
      <c r="F484" s="6"/>
      <c r="Q484" s="66" t="str">
        <f t="shared" si="17"/>
        <v/>
      </c>
      <c r="R484" s="30" t="str">
        <f t="shared" si="18"/>
        <v/>
      </c>
    </row>
    <row r="485" spans="1:18" ht="15.75" x14ac:dyDescent="0.25">
      <c r="A485" s="8"/>
      <c r="B485" s="9"/>
      <c r="C485" s="8"/>
      <c r="D485" s="22"/>
      <c r="E485" s="8"/>
      <c r="F485" s="9"/>
      <c r="Q485" s="48" t="str">
        <f t="shared" si="17"/>
        <v/>
      </c>
      <c r="R485" s="25" t="str">
        <f t="shared" si="18"/>
        <v/>
      </c>
    </row>
    <row r="486" spans="1:18" ht="15.75" x14ac:dyDescent="0.25">
      <c r="A486" s="5"/>
      <c r="B486" s="6"/>
      <c r="C486" s="5"/>
      <c r="D486" s="7"/>
      <c r="E486" s="5"/>
      <c r="F486" s="6"/>
      <c r="Q486" s="66" t="str">
        <f t="shared" si="17"/>
        <v/>
      </c>
      <c r="R486" s="30" t="str">
        <f t="shared" si="18"/>
        <v/>
      </c>
    </row>
    <row r="487" spans="1:18" ht="15.75" x14ac:dyDescent="0.25">
      <c r="A487" s="8"/>
      <c r="B487" s="9"/>
      <c r="C487" s="8"/>
      <c r="D487" s="22"/>
      <c r="E487" s="8"/>
      <c r="F487" s="9"/>
      <c r="Q487" s="48" t="str">
        <f t="shared" si="17"/>
        <v/>
      </c>
      <c r="R487" s="25" t="str">
        <f t="shared" si="18"/>
        <v/>
      </c>
    </row>
    <row r="488" spans="1:18" ht="15.75" x14ac:dyDescent="0.25">
      <c r="A488" s="5"/>
      <c r="B488" s="6"/>
      <c r="C488" s="5"/>
      <c r="D488" s="7"/>
      <c r="E488" s="5"/>
      <c r="F488" s="6"/>
      <c r="Q488" s="66" t="str">
        <f t="shared" si="17"/>
        <v/>
      </c>
      <c r="R488" s="30" t="str">
        <f t="shared" si="18"/>
        <v/>
      </c>
    </row>
    <row r="489" spans="1:18" ht="15.75" x14ac:dyDescent="0.25">
      <c r="A489" s="8"/>
      <c r="B489" s="9"/>
      <c r="C489" s="8"/>
      <c r="D489" s="22"/>
      <c r="E489" s="8"/>
      <c r="F489" s="9"/>
      <c r="Q489" s="48" t="str">
        <f t="shared" si="17"/>
        <v/>
      </c>
      <c r="R489" s="25" t="str">
        <f t="shared" si="18"/>
        <v/>
      </c>
    </row>
    <row r="490" spans="1:18" ht="15.75" x14ac:dyDescent="0.25">
      <c r="A490" s="5"/>
      <c r="B490" s="6"/>
      <c r="C490" s="5"/>
      <c r="D490" s="7"/>
      <c r="E490" s="5"/>
      <c r="F490" s="6"/>
      <c r="Q490" s="66" t="str">
        <f t="shared" si="17"/>
        <v/>
      </c>
      <c r="R490" s="30" t="str">
        <f t="shared" si="18"/>
        <v/>
      </c>
    </row>
    <row r="491" spans="1:18" ht="15.75" x14ac:dyDescent="0.25">
      <c r="A491" s="8"/>
      <c r="B491" s="9"/>
      <c r="C491" s="8"/>
      <c r="D491" s="22"/>
      <c r="E491" s="8"/>
      <c r="F491" s="9"/>
      <c r="Q491" s="48" t="str">
        <f t="shared" si="17"/>
        <v/>
      </c>
      <c r="R491" s="25" t="str">
        <f t="shared" si="18"/>
        <v/>
      </c>
    </row>
    <row r="492" spans="1:18" ht="15.75" x14ac:dyDescent="0.25">
      <c r="A492" s="5"/>
      <c r="B492" s="6"/>
      <c r="C492" s="5"/>
      <c r="D492" s="7"/>
      <c r="E492" s="5"/>
      <c r="F492" s="6"/>
      <c r="Q492" s="66" t="str">
        <f t="shared" si="17"/>
        <v/>
      </c>
      <c r="R492" s="30" t="str">
        <f t="shared" si="18"/>
        <v/>
      </c>
    </row>
    <row r="493" spans="1:18" ht="15.75" x14ac:dyDescent="0.25">
      <c r="A493" s="8"/>
      <c r="B493" s="9"/>
      <c r="C493" s="8"/>
      <c r="D493" s="22"/>
      <c r="E493" s="8"/>
      <c r="F493" s="9"/>
      <c r="Q493" s="48" t="str">
        <f t="shared" si="17"/>
        <v/>
      </c>
      <c r="R493" s="25" t="str">
        <f t="shared" si="18"/>
        <v/>
      </c>
    </row>
    <row r="494" spans="1:18" ht="15.75" x14ac:dyDescent="0.25">
      <c r="A494" s="5"/>
      <c r="B494" s="6"/>
      <c r="C494" s="5"/>
      <c r="D494" s="7"/>
      <c r="E494" s="5"/>
      <c r="F494" s="6"/>
      <c r="Q494" s="66" t="str">
        <f t="shared" si="17"/>
        <v/>
      </c>
      <c r="R494" s="30" t="str">
        <f t="shared" si="18"/>
        <v/>
      </c>
    </row>
    <row r="495" spans="1:18" ht="15.75" x14ac:dyDescent="0.25">
      <c r="A495" s="8"/>
      <c r="B495" s="9"/>
      <c r="C495" s="8"/>
      <c r="D495" s="22"/>
      <c r="E495" s="8"/>
      <c r="F495" s="9"/>
      <c r="Q495" s="48" t="str">
        <f t="shared" si="17"/>
        <v/>
      </c>
      <c r="R495" s="25" t="str">
        <f t="shared" si="18"/>
        <v/>
      </c>
    </row>
    <row r="496" spans="1:18" ht="15.75" x14ac:dyDescent="0.25">
      <c r="A496" s="5"/>
      <c r="B496" s="6"/>
      <c r="C496" s="5"/>
      <c r="D496" s="7"/>
      <c r="E496" s="5"/>
      <c r="F496" s="6"/>
      <c r="Q496" s="66" t="str">
        <f t="shared" si="17"/>
        <v/>
      </c>
      <c r="R496" s="30" t="str">
        <f t="shared" si="18"/>
        <v/>
      </c>
    </row>
    <row r="497" spans="1:18" ht="15.75" x14ac:dyDescent="0.25">
      <c r="A497" s="8"/>
      <c r="B497" s="9"/>
      <c r="C497" s="8"/>
      <c r="D497" s="22"/>
      <c r="E497" s="8"/>
      <c r="F497" s="9"/>
      <c r="Q497" s="48" t="str">
        <f t="shared" si="17"/>
        <v/>
      </c>
      <c r="R497" s="25" t="str">
        <f t="shared" si="18"/>
        <v/>
      </c>
    </row>
    <row r="498" spans="1:18" ht="15.75" x14ac:dyDescent="0.25">
      <c r="A498" s="5"/>
      <c r="B498" s="6"/>
      <c r="C498" s="5"/>
      <c r="D498" s="7"/>
      <c r="E498" s="5"/>
      <c r="F498" s="6"/>
      <c r="Q498" s="66" t="str">
        <f t="shared" si="17"/>
        <v/>
      </c>
      <c r="R498" s="30" t="str">
        <f t="shared" si="18"/>
        <v/>
      </c>
    </row>
    <row r="499" spans="1:18" ht="15.75" x14ac:dyDescent="0.25">
      <c r="A499" s="8"/>
      <c r="B499" s="9"/>
      <c r="C499" s="8"/>
      <c r="D499" s="22"/>
      <c r="E499" s="8"/>
      <c r="F499" s="9"/>
      <c r="Q499" s="48" t="str">
        <f t="shared" si="17"/>
        <v/>
      </c>
      <c r="R499" s="25" t="str">
        <f t="shared" si="18"/>
        <v/>
      </c>
    </row>
    <row r="500" spans="1:18" ht="15.75" x14ac:dyDescent="0.25">
      <c r="A500" s="5"/>
      <c r="B500" s="6"/>
      <c r="C500" s="5"/>
      <c r="D500" s="7"/>
      <c r="E500" s="5"/>
      <c r="F500" s="6"/>
      <c r="Q500" s="66" t="str">
        <f t="shared" si="17"/>
        <v/>
      </c>
      <c r="R500" s="30" t="str">
        <f t="shared" si="18"/>
        <v/>
      </c>
    </row>
    <row r="501" spans="1:18" ht="15.75" x14ac:dyDescent="0.25">
      <c r="A501" s="8"/>
      <c r="B501" s="9"/>
      <c r="C501" s="8"/>
      <c r="D501" s="22"/>
      <c r="E501" s="8"/>
      <c r="F501" s="9"/>
      <c r="Q501" s="48" t="str">
        <f t="shared" si="17"/>
        <v/>
      </c>
      <c r="R501" s="25" t="str">
        <f t="shared" si="18"/>
        <v/>
      </c>
    </row>
    <row r="502" spans="1:18" ht="15.75" x14ac:dyDescent="0.25">
      <c r="A502" s="5"/>
      <c r="B502" s="6"/>
      <c r="C502" s="5"/>
      <c r="D502" s="7"/>
      <c r="E502" s="5"/>
      <c r="F502" s="6"/>
      <c r="Q502" s="66" t="str">
        <f t="shared" si="17"/>
        <v/>
      </c>
      <c r="R502" s="30" t="str">
        <f t="shared" si="18"/>
        <v/>
      </c>
    </row>
    <row r="503" spans="1:18" ht="15.75" x14ac:dyDescent="0.25">
      <c r="A503" s="8"/>
      <c r="B503" s="9"/>
      <c r="C503" s="8"/>
      <c r="D503" s="22"/>
      <c r="E503" s="8"/>
      <c r="F503" s="9"/>
      <c r="Q503" s="48" t="str">
        <f t="shared" si="17"/>
        <v/>
      </c>
      <c r="R503" s="25" t="str">
        <f t="shared" si="18"/>
        <v/>
      </c>
    </row>
    <row r="504" spans="1:18" ht="15.75" x14ac:dyDescent="0.25">
      <c r="A504" s="5"/>
      <c r="B504" s="6"/>
      <c r="C504" s="5"/>
      <c r="D504" s="7"/>
      <c r="E504" s="5"/>
      <c r="F504" s="6"/>
      <c r="Q504" s="66" t="str">
        <f t="shared" si="17"/>
        <v/>
      </c>
      <c r="R504" s="30" t="str">
        <f t="shared" si="18"/>
        <v/>
      </c>
    </row>
    <row r="505" spans="1:18" ht="15.75" x14ac:dyDescent="0.25">
      <c r="A505" s="8"/>
      <c r="B505" s="9"/>
      <c r="C505" s="8"/>
      <c r="D505" s="22"/>
      <c r="E505" s="8"/>
      <c r="F505" s="9"/>
      <c r="Q505" s="48" t="str">
        <f t="shared" si="17"/>
        <v/>
      </c>
      <c r="R505" s="25" t="str">
        <f t="shared" si="18"/>
        <v/>
      </c>
    </row>
    <row r="506" spans="1:18" ht="15.75" x14ac:dyDescent="0.25">
      <c r="A506" s="5"/>
      <c r="B506" s="6"/>
      <c r="C506" s="5"/>
      <c r="D506" s="7"/>
      <c r="E506" s="5"/>
      <c r="F506" s="6"/>
      <c r="Q506" s="66" t="str">
        <f t="shared" si="17"/>
        <v/>
      </c>
      <c r="R506" s="30" t="str">
        <f t="shared" si="18"/>
        <v/>
      </c>
    </row>
    <row r="507" spans="1:18" ht="15.75" x14ac:dyDescent="0.25">
      <c r="A507" s="8"/>
      <c r="B507" s="9"/>
      <c r="C507" s="8"/>
      <c r="D507" s="22"/>
      <c r="E507" s="8"/>
      <c r="F507" s="9"/>
      <c r="Q507" s="48" t="str">
        <f t="shared" si="17"/>
        <v/>
      </c>
      <c r="R507" s="25" t="str">
        <f t="shared" si="18"/>
        <v/>
      </c>
    </row>
    <row r="508" spans="1:18" ht="15.75" x14ac:dyDescent="0.25">
      <c r="A508" s="5"/>
      <c r="B508" s="6"/>
      <c r="C508" s="5"/>
      <c r="D508" s="7"/>
      <c r="E508" s="5"/>
      <c r="F508" s="6"/>
      <c r="Q508" s="66" t="str">
        <f t="shared" si="17"/>
        <v/>
      </c>
      <c r="R508" s="30" t="str">
        <f t="shared" si="18"/>
        <v/>
      </c>
    </row>
    <row r="509" spans="1:18" ht="15.75" x14ac:dyDescent="0.25">
      <c r="A509" s="8"/>
      <c r="B509" s="9"/>
      <c r="C509" s="8"/>
      <c r="D509" s="22"/>
      <c r="E509" s="8"/>
      <c r="F509" s="9"/>
      <c r="Q509" s="48" t="str">
        <f t="shared" si="17"/>
        <v/>
      </c>
      <c r="R509" s="25" t="str">
        <f t="shared" si="18"/>
        <v/>
      </c>
    </row>
    <row r="510" spans="1:18" ht="15.75" x14ac:dyDescent="0.25">
      <c r="A510" s="5"/>
      <c r="B510" s="6"/>
      <c r="C510" s="5"/>
      <c r="D510" s="7"/>
      <c r="E510" s="5"/>
      <c r="F510" s="6"/>
      <c r="Q510" s="66" t="str">
        <f t="shared" si="17"/>
        <v/>
      </c>
      <c r="R510" s="30" t="str">
        <f t="shared" si="18"/>
        <v/>
      </c>
    </row>
    <row r="511" spans="1:18" ht="15.75" x14ac:dyDescent="0.25">
      <c r="A511" s="8"/>
      <c r="B511" s="9"/>
      <c r="C511" s="8"/>
      <c r="D511" s="22"/>
      <c r="E511" s="8"/>
      <c r="F511" s="9"/>
      <c r="Q511" s="48" t="str">
        <f t="shared" si="17"/>
        <v/>
      </c>
      <c r="R511" s="25" t="str">
        <f t="shared" si="18"/>
        <v/>
      </c>
    </row>
    <row r="512" spans="1:18" ht="15.75" x14ac:dyDescent="0.25">
      <c r="A512" s="5"/>
      <c r="B512" s="6"/>
      <c r="C512" s="5"/>
      <c r="D512" s="7"/>
      <c r="E512" s="5"/>
      <c r="F512" s="6"/>
      <c r="Q512" s="66" t="str">
        <f t="shared" si="17"/>
        <v/>
      </c>
      <c r="R512" s="30" t="str">
        <f t="shared" si="18"/>
        <v/>
      </c>
    </row>
    <row r="513" spans="1:18" ht="15.75" x14ac:dyDescent="0.25">
      <c r="A513" s="8"/>
      <c r="B513" s="9"/>
      <c r="C513" s="8"/>
      <c r="D513" s="22"/>
      <c r="E513" s="8"/>
      <c r="F513" s="9"/>
      <c r="Q513" s="48" t="str">
        <f t="shared" si="17"/>
        <v/>
      </c>
      <c r="R513" s="25" t="str">
        <f t="shared" si="18"/>
        <v/>
      </c>
    </row>
    <row r="514" spans="1:18" ht="15.75" x14ac:dyDescent="0.25">
      <c r="A514" s="5"/>
      <c r="B514" s="6"/>
      <c r="C514" s="5"/>
      <c r="D514" s="7"/>
      <c r="E514" s="5"/>
      <c r="F514" s="6"/>
      <c r="Q514" s="66" t="str">
        <f t="shared" si="17"/>
        <v/>
      </c>
      <c r="R514" s="30" t="str">
        <f t="shared" si="18"/>
        <v/>
      </c>
    </row>
    <row r="515" spans="1:18" ht="15.75" x14ac:dyDescent="0.25">
      <c r="A515" s="8"/>
      <c r="B515" s="9"/>
      <c r="C515" s="8"/>
      <c r="D515" s="22"/>
      <c r="E515" s="8"/>
      <c r="F515" s="9"/>
      <c r="Q515" s="48" t="str">
        <f t="shared" ref="Q515:Q578" si="19">IF(A515=$K$2,D515/60*$N$2,IF(A515=$K$3,D515/60*$N$3,IF(A515=$K$4,D515/60*$N$4,IF(A515=$K$5,D515/60*$N$5,IF(A515=$K$6,D515/60*$N$6,IF(A515=$K$7,D515/60*$N$7,IF(A515=$K$8,D515/60*$N$8,"")))))))</f>
        <v/>
      </c>
      <c r="R515" s="25" t="str">
        <f t="shared" ref="R515:R578" si="20">IF(D515="","",D515/$S$2)</f>
        <v/>
      </c>
    </row>
    <row r="516" spans="1:18" ht="15.75" x14ac:dyDescent="0.25">
      <c r="A516" s="5"/>
      <c r="B516" s="6"/>
      <c r="C516" s="5"/>
      <c r="D516" s="7"/>
      <c r="E516" s="5"/>
      <c r="F516" s="6"/>
      <c r="Q516" s="66" t="str">
        <f t="shared" si="19"/>
        <v/>
      </c>
      <c r="R516" s="30" t="str">
        <f t="shared" si="20"/>
        <v/>
      </c>
    </row>
    <row r="517" spans="1:18" ht="15.75" x14ac:dyDescent="0.25">
      <c r="A517" s="8"/>
      <c r="B517" s="9"/>
      <c r="C517" s="8"/>
      <c r="D517" s="22"/>
      <c r="E517" s="8"/>
      <c r="F517" s="9"/>
      <c r="Q517" s="48" t="str">
        <f t="shared" si="19"/>
        <v/>
      </c>
      <c r="R517" s="25" t="str">
        <f t="shared" si="20"/>
        <v/>
      </c>
    </row>
    <row r="518" spans="1:18" ht="15.75" x14ac:dyDescent="0.25">
      <c r="A518" s="5"/>
      <c r="B518" s="6"/>
      <c r="C518" s="5"/>
      <c r="D518" s="7"/>
      <c r="E518" s="5"/>
      <c r="F518" s="6"/>
      <c r="Q518" s="66" t="str">
        <f t="shared" si="19"/>
        <v/>
      </c>
      <c r="R518" s="30" t="str">
        <f t="shared" si="20"/>
        <v/>
      </c>
    </row>
    <row r="519" spans="1:18" ht="15.75" x14ac:dyDescent="0.25">
      <c r="A519" s="8"/>
      <c r="B519" s="9"/>
      <c r="C519" s="8"/>
      <c r="D519" s="22"/>
      <c r="E519" s="8"/>
      <c r="F519" s="9"/>
      <c r="Q519" s="48" t="str">
        <f t="shared" si="19"/>
        <v/>
      </c>
      <c r="R519" s="25" t="str">
        <f t="shared" si="20"/>
        <v/>
      </c>
    </row>
    <row r="520" spans="1:18" ht="15.75" x14ac:dyDescent="0.25">
      <c r="A520" s="5"/>
      <c r="B520" s="6"/>
      <c r="C520" s="5"/>
      <c r="D520" s="7"/>
      <c r="E520" s="5"/>
      <c r="F520" s="6"/>
      <c r="Q520" s="66" t="str">
        <f t="shared" si="19"/>
        <v/>
      </c>
      <c r="R520" s="30" t="str">
        <f t="shared" si="20"/>
        <v/>
      </c>
    </row>
    <row r="521" spans="1:18" ht="15.75" x14ac:dyDescent="0.25">
      <c r="A521" s="8"/>
      <c r="B521" s="9"/>
      <c r="C521" s="8"/>
      <c r="D521" s="22"/>
      <c r="E521" s="8"/>
      <c r="F521" s="9"/>
      <c r="Q521" s="48" t="str">
        <f t="shared" si="19"/>
        <v/>
      </c>
      <c r="R521" s="25" t="str">
        <f t="shared" si="20"/>
        <v/>
      </c>
    </row>
    <row r="522" spans="1:18" ht="15.75" x14ac:dyDescent="0.25">
      <c r="A522" s="5"/>
      <c r="B522" s="6"/>
      <c r="C522" s="5"/>
      <c r="D522" s="7"/>
      <c r="E522" s="5"/>
      <c r="F522" s="6"/>
      <c r="Q522" s="66" t="str">
        <f t="shared" si="19"/>
        <v/>
      </c>
      <c r="R522" s="30" t="str">
        <f t="shared" si="20"/>
        <v/>
      </c>
    </row>
    <row r="523" spans="1:18" ht="15.75" x14ac:dyDescent="0.25">
      <c r="A523" s="8"/>
      <c r="B523" s="9"/>
      <c r="C523" s="8"/>
      <c r="D523" s="22"/>
      <c r="E523" s="8"/>
      <c r="F523" s="9"/>
      <c r="Q523" s="48" t="str">
        <f t="shared" si="19"/>
        <v/>
      </c>
      <c r="R523" s="25" t="str">
        <f t="shared" si="20"/>
        <v/>
      </c>
    </row>
    <row r="524" spans="1:18" ht="15.75" x14ac:dyDescent="0.25">
      <c r="A524" s="5"/>
      <c r="B524" s="6"/>
      <c r="C524" s="5"/>
      <c r="D524" s="7"/>
      <c r="E524" s="5"/>
      <c r="F524" s="6"/>
      <c r="Q524" s="66" t="str">
        <f t="shared" si="19"/>
        <v/>
      </c>
      <c r="R524" s="30" t="str">
        <f t="shared" si="20"/>
        <v/>
      </c>
    </row>
    <row r="525" spans="1:18" ht="15.75" x14ac:dyDescent="0.25">
      <c r="A525" s="8"/>
      <c r="B525" s="9"/>
      <c r="C525" s="8"/>
      <c r="D525" s="22"/>
      <c r="E525" s="8"/>
      <c r="F525" s="9"/>
      <c r="Q525" s="48" t="str">
        <f t="shared" si="19"/>
        <v/>
      </c>
      <c r="R525" s="25" t="str">
        <f t="shared" si="20"/>
        <v/>
      </c>
    </row>
    <row r="526" spans="1:18" ht="15.75" x14ac:dyDescent="0.25">
      <c r="A526" s="5"/>
      <c r="B526" s="6"/>
      <c r="C526" s="5"/>
      <c r="D526" s="7"/>
      <c r="E526" s="5"/>
      <c r="F526" s="6"/>
      <c r="Q526" s="66" t="str">
        <f t="shared" si="19"/>
        <v/>
      </c>
      <c r="R526" s="30" t="str">
        <f t="shared" si="20"/>
        <v/>
      </c>
    </row>
    <row r="527" spans="1:18" ht="15.75" x14ac:dyDescent="0.25">
      <c r="A527" s="8"/>
      <c r="B527" s="9"/>
      <c r="C527" s="8"/>
      <c r="D527" s="22"/>
      <c r="E527" s="8"/>
      <c r="F527" s="9"/>
      <c r="Q527" s="48" t="str">
        <f t="shared" si="19"/>
        <v/>
      </c>
      <c r="R527" s="25" t="str">
        <f t="shared" si="20"/>
        <v/>
      </c>
    </row>
    <row r="528" spans="1:18" ht="15.75" x14ac:dyDescent="0.25">
      <c r="A528" s="5"/>
      <c r="B528" s="6"/>
      <c r="C528" s="5"/>
      <c r="D528" s="7"/>
      <c r="E528" s="5"/>
      <c r="F528" s="6"/>
      <c r="Q528" s="66" t="str">
        <f t="shared" si="19"/>
        <v/>
      </c>
      <c r="R528" s="30" t="str">
        <f t="shared" si="20"/>
        <v/>
      </c>
    </row>
    <row r="529" spans="1:18" ht="15.75" x14ac:dyDescent="0.25">
      <c r="A529" s="8"/>
      <c r="B529" s="9"/>
      <c r="C529" s="8"/>
      <c r="D529" s="22"/>
      <c r="E529" s="8"/>
      <c r="F529" s="9"/>
      <c r="Q529" s="48" t="str">
        <f t="shared" si="19"/>
        <v/>
      </c>
      <c r="R529" s="25" t="str">
        <f t="shared" si="20"/>
        <v/>
      </c>
    </row>
    <row r="530" spans="1:18" ht="15.75" x14ac:dyDescent="0.25">
      <c r="A530" s="5"/>
      <c r="B530" s="6"/>
      <c r="C530" s="5"/>
      <c r="D530" s="7"/>
      <c r="E530" s="5"/>
      <c r="F530" s="6"/>
      <c r="Q530" s="66" t="str">
        <f t="shared" si="19"/>
        <v/>
      </c>
      <c r="R530" s="30" t="str">
        <f t="shared" si="20"/>
        <v/>
      </c>
    </row>
    <row r="531" spans="1:18" ht="15.75" x14ac:dyDescent="0.25">
      <c r="A531" s="8"/>
      <c r="B531" s="9"/>
      <c r="C531" s="8"/>
      <c r="D531" s="22"/>
      <c r="E531" s="8"/>
      <c r="F531" s="9"/>
      <c r="Q531" s="48" t="str">
        <f t="shared" si="19"/>
        <v/>
      </c>
      <c r="R531" s="25" t="str">
        <f t="shared" si="20"/>
        <v/>
      </c>
    </row>
    <row r="532" spans="1:18" ht="15.75" x14ac:dyDescent="0.25">
      <c r="A532" s="5"/>
      <c r="B532" s="6"/>
      <c r="C532" s="5"/>
      <c r="D532" s="7"/>
      <c r="E532" s="5"/>
      <c r="F532" s="6"/>
      <c r="Q532" s="66" t="str">
        <f t="shared" si="19"/>
        <v/>
      </c>
      <c r="R532" s="30" t="str">
        <f t="shared" si="20"/>
        <v/>
      </c>
    </row>
    <row r="533" spans="1:18" ht="15.75" x14ac:dyDescent="0.25">
      <c r="A533" s="8"/>
      <c r="B533" s="9"/>
      <c r="C533" s="8"/>
      <c r="D533" s="22"/>
      <c r="E533" s="8"/>
      <c r="F533" s="9"/>
      <c r="Q533" s="48" t="str">
        <f t="shared" si="19"/>
        <v/>
      </c>
      <c r="R533" s="25" t="str">
        <f t="shared" si="20"/>
        <v/>
      </c>
    </row>
    <row r="534" spans="1:18" ht="15.75" x14ac:dyDescent="0.25">
      <c r="A534" s="5"/>
      <c r="B534" s="6"/>
      <c r="C534" s="5"/>
      <c r="D534" s="7"/>
      <c r="E534" s="5"/>
      <c r="F534" s="6"/>
      <c r="Q534" s="66" t="str">
        <f t="shared" si="19"/>
        <v/>
      </c>
      <c r="R534" s="30" t="str">
        <f t="shared" si="20"/>
        <v/>
      </c>
    </row>
    <row r="535" spans="1:18" ht="15.75" x14ac:dyDescent="0.25">
      <c r="A535" s="8"/>
      <c r="B535" s="9"/>
      <c r="C535" s="8"/>
      <c r="D535" s="22"/>
      <c r="E535" s="8"/>
      <c r="F535" s="9"/>
      <c r="Q535" s="48" t="str">
        <f t="shared" si="19"/>
        <v/>
      </c>
      <c r="R535" s="25" t="str">
        <f t="shared" si="20"/>
        <v/>
      </c>
    </row>
    <row r="536" spans="1:18" ht="15.75" x14ac:dyDescent="0.25">
      <c r="A536" s="5"/>
      <c r="B536" s="6"/>
      <c r="C536" s="5"/>
      <c r="D536" s="7"/>
      <c r="E536" s="5"/>
      <c r="F536" s="6"/>
      <c r="Q536" s="66" t="str">
        <f t="shared" si="19"/>
        <v/>
      </c>
      <c r="R536" s="30" t="str">
        <f t="shared" si="20"/>
        <v/>
      </c>
    </row>
    <row r="537" spans="1:18" ht="15.75" x14ac:dyDescent="0.25">
      <c r="A537" s="8"/>
      <c r="B537" s="9"/>
      <c r="C537" s="8"/>
      <c r="D537" s="22"/>
      <c r="E537" s="8"/>
      <c r="F537" s="9"/>
      <c r="Q537" s="48" t="str">
        <f t="shared" si="19"/>
        <v/>
      </c>
      <c r="R537" s="25" t="str">
        <f t="shared" si="20"/>
        <v/>
      </c>
    </row>
    <row r="538" spans="1:18" ht="15.75" x14ac:dyDescent="0.25">
      <c r="A538" s="5"/>
      <c r="B538" s="6"/>
      <c r="C538" s="5"/>
      <c r="D538" s="7"/>
      <c r="E538" s="5"/>
      <c r="F538" s="6"/>
      <c r="Q538" s="66" t="str">
        <f t="shared" si="19"/>
        <v/>
      </c>
      <c r="R538" s="30" t="str">
        <f t="shared" si="20"/>
        <v/>
      </c>
    </row>
    <row r="539" spans="1:18" ht="15.75" x14ac:dyDescent="0.25">
      <c r="A539" s="8"/>
      <c r="B539" s="9"/>
      <c r="C539" s="8"/>
      <c r="D539" s="22"/>
      <c r="E539" s="8"/>
      <c r="F539" s="9"/>
      <c r="Q539" s="48" t="str">
        <f t="shared" si="19"/>
        <v/>
      </c>
      <c r="R539" s="25" t="str">
        <f t="shared" si="20"/>
        <v/>
      </c>
    </row>
    <row r="540" spans="1:18" ht="15.75" x14ac:dyDescent="0.25">
      <c r="A540" s="5"/>
      <c r="B540" s="6"/>
      <c r="C540" s="5"/>
      <c r="D540" s="7"/>
      <c r="E540" s="5"/>
      <c r="F540" s="6"/>
      <c r="Q540" s="66" t="str">
        <f t="shared" si="19"/>
        <v/>
      </c>
      <c r="R540" s="30" t="str">
        <f t="shared" si="20"/>
        <v/>
      </c>
    </row>
    <row r="541" spans="1:18" ht="15.75" x14ac:dyDescent="0.25">
      <c r="A541" s="8"/>
      <c r="B541" s="9"/>
      <c r="C541" s="8"/>
      <c r="D541" s="22"/>
      <c r="E541" s="8"/>
      <c r="F541" s="9"/>
      <c r="Q541" s="48" t="str">
        <f t="shared" si="19"/>
        <v/>
      </c>
      <c r="R541" s="25" t="str">
        <f t="shared" si="20"/>
        <v/>
      </c>
    </row>
    <row r="542" spans="1:18" ht="15.75" x14ac:dyDescent="0.25">
      <c r="A542" s="5"/>
      <c r="B542" s="6"/>
      <c r="C542" s="5"/>
      <c r="D542" s="7"/>
      <c r="E542" s="5"/>
      <c r="F542" s="6"/>
      <c r="Q542" s="66" t="str">
        <f t="shared" si="19"/>
        <v/>
      </c>
      <c r="R542" s="30" t="str">
        <f t="shared" si="20"/>
        <v/>
      </c>
    </row>
    <row r="543" spans="1:18" ht="15.75" x14ac:dyDescent="0.25">
      <c r="A543" s="8"/>
      <c r="B543" s="9"/>
      <c r="C543" s="8"/>
      <c r="D543" s="22"/>
      <c r="E543" s="8"/>
      <c r="F543" s="9"/>
      <c r="Q543" s="48" t="str">
        <f t="shared" si="19"/>
        <v/>
      </c>
      <c r="R543" s="25" t="str">
        <f t="shared" si="20"/>
        <v/>
      </c>
    </row>
    <row r="544" spans="1:18" ht="15.75" x14ac:dyDescent="0.25">
      <c r="A544" s="5"/>
      <c r="B544" s="6"/>
      <c r="C544" s="5"/>
      <c r="D544" s="7"/>
      <c r="E544" s="5"/>
      <c r="F544" s="6"/>
      <c r="Q544" s="66" t="str">
        <f t="shared" si="19"/>
        <v/>
      </c>
      <c r="R544" s="30" t="str">
        <f t="shared" si="20"/>
        <v/>
      </c>
    </row>
    <row r="545" spans="1:18" ht="15.75" x14ac:dyDescent="0.25">
      <c r="A545" s="8"/>
      <c r="B545" s="9"/>
      <c r="C545" s="8"/>
      <c r="D545" s="22"/>
      <c r="E545" s="8"/>
      <c r="F545" s="9"/>
      <c r="Q545" s="48" t="str">
        <f t="shared" si="19"/>
        <v/>
      </c>
      <c r="R545" s="25" t="str">
        <f t="shared" si="20"/>
        <v/>
      </c>
    </row>
    <row r="546" spans="1:18" ht="15.75" x14ac:dyDescent="0.25">
      <c r="A546" s="5"/>
      <c r="B546" s="6"/>
      <c r="C546" s="5"/>
      <c r="D546" s="7"/>
      <c r="E546" s="5"/>
      <c r="F546" s="6"/>
      <c r="Q546" s="66" t="str">
        <f t="shared" si="19"/>
        <v/>
      </c>
      <c r="R546" s="30" t="str">
        <f t="shared" si="20"/>
        <v/>
      </c>
    </row>
    <row r="547" spans="1:18" ht="15.75" x14ac:dyDescent="0.25">
      <c r="A547" s="8"/>
      <c r="B547" s="9"/>
      <c r="C547" s="8"/>
      <c r="D547" s="22"/>
      <c r="E547" s="8"/>
      <c r="F547" s="9"/>
      <c r="Q547" s="48" t="str">
        <f t="shared" si="19"/>
        <v/>
      </c>
      <c r="R547" s="25" t="str">
        <f t="shared" si="20"/>
        <v/>
      </c>
    </row>
    <row r="548" spans="1:18" ht="15.75" x14ac:dyDescent="0.25">
      <c r="A548" s="5"/>
      <c r="B548" s="6"/>
      <c r="C548" s="5"/>
      <c r="D548" s="7"/>
      <c r="E548" s="5"/>
      <c r="F548" s="6"/>
      <c r="Q548" s="66" t="str">
        <f t="shared" si="19"/>
        <v/>
      </c>
      <c r="R548" s="30" t="str">
        <f t="shared" si="20"/>
        <v/>
      </c>
    </row>
    <row r="549" spans="1:18" ht="15.75" x14ac:dyDescent="0.25">
      <c r="A549" s="8"/>
      <c r="B549" s="9"/>
      <c r="C549" s="8"/>
      <c r="D549" s="22"/>
      <c r="E549" s="8"/>
      <c r="F549" s="9"/>
      <c r="Q549" s="48" t="str">
        <f t="shared" si="19"/>
        <v/>
      </c>
      <c r="R549" s="25" t="str">
        <f t="shared" si="20"/>
        <v/>
      </c>
    </row>
    <row r="550" spans="1:18" ht="15.75" x14ac:dyDescent="0.25">
      <c r="A550" s="5"/>
      <c r="B550" s="6"/>
      <c r="C550" s="5"/>
      <c r="D550" s="7"/>
      <c r="E550" s="5"/>
      <c r="F550" s="6"/>
      <c r="Q550" s="66" t="str">
        <f t="shared" si="19"/>
        <v/>
      </c>
      <c r="R550" s="30" t="str">
        <f t="shared" si="20"/>
        <v/>
      </c>
    </row>
    <row r="551" spans="1:18" ht="15.75" x14ac:dyDescent="0.25">
      <c r="A551" s="8"/>
      <c r="B551" s="9"/>
      <c r="C551" s="8"/>
      <c r="D551" s="22"/>
      <c r="E551" s="8"/>
      <c r="F551" s="9"/>
      <c r="Q551" s="48" t="str">
        <f t="shared" si="19"/>
        <v/>
      </c>
      <c r="R551" s="25" t="str">
        <f t="shared" si="20"/>
        <v/>
      </c>
    </row>
    <row r="552" spans="1:18" ht="15.75" x14ac:dyDescent="0.25">
      <c r="A552" s="5"/>
      <c r="B552" s="6"/>
      <c r="C552" s="5"/>
      <c r="D552" s="7"/>
      <c r="E552" s="5"/>
      <c r="F552" s="6"/>
      <c r="Q552" s="66" t="str">
        <f t="shared" si="19"/>
        <v/>
      </c>
      <c r="R552" s="30" t="str">
        <f t="shared" si="20"/>
        <v/>
      </c>
    </row>
    <row r="553" spans="1:18" ht="15.75" x14ac:dyDescent="0.25">
      <c r="A553" s="8"/>
      <c r="B553" s="9"/>
      <c r="C553" s="8"/>
      <c r="D553" s="22"/>
      <c r="E553" s="8"/>
      <c r="F553" s="9"/>
      <c r="Q553" s="48" t="str">
        <f t="shared" si="19"/>
        <v/>
      </c>
      <c r="R553" s="25" t="str">
        <f t="shared" si="20"/>
        <v/>
      </c>
    </row>
    <row r="554" spans="1:18" ht="15.75" x14ac:dyDescent="0.25">
      <c r="A554" s="5"/>
      <c r="B554" s="6"/>
      <c r="C554" s="5"/>
      <c r="D554" s="7"/>
      <c r="E554" s="5"/>
      <c r="F554" s="6"/>
      <c r="Q554" s="66" t="str">
        <f t="shared" si="19"/>
        <v/>
      </c>
      <c r="R554" s="30" t="str">
        <f t="shared" si="20"/>
        <v/>
      </c>
    </row>
    <row r="555" spans="1:18" ht="15.75" x14ac:dyDescent="0.25">
      <c r="A555" s="8"/>
      <c r="B555" s="9"/>
      <c r="C555" s="8"/>
      <c r="D555" s="22"/>
      <c r="E555" s="8"/>
      <c r="F555" s="9"/>
      <c r="Q555" s="48" t="str">
        <f t="shared" si="19"/>
        <v/>
      </c>
      <c r="R555" s="25" t="str">
        <f t="shared" si="20"/>
        <v/>
      </c>
    </row>
    <row r="556" spans="1:18" ht="15.75" x14ac:dyDescent="0.25">
      <c r="A556" s="5"/>
      <c r="B556" s="6"/>
      <c r="C556" s="5"/>
      <c r="D556" s="7"/>
      <c r="E556" s="5"/>
      <c r="F556" s="6"/>
      <c r="Q556" s="66" t="str">
        <f t="shared" si="19"/>
        <v/>
      </c>
      <c r="R556" s="30" t="str">
        <f t="shared" si="20"/>
        <v/>
      </c>
    </row>
    <row r="557" spans="1:18" ht="15.75" x14ac:dyDescent="0.25">
      <c r="A557" s="8"/>
      <c r="B557" s="9"/>
      <c r="C557" s="8"/>
      <c r="D557" s="22"/>
      <c r="E557" s="8"/>
      <c r="F557" s="9"/>
      <c r="Q557" s="48" t="str">
        <f t="shared" si="19"/>
        <v/>
      </c>
      <c r="R557" s="25" t="str">
        <f t="shared" si="20"/>
        <v/>
      </c>
    </row>
    <row r="558" spans="1:18" ht="15.75" x14ac:dyDescent="0.25">
      <c r="A558" s="5"/>
      <c r="B558" s="6"/>
      <c r="C558" s="5"/>
      <c r="D558" s="7"/>
      <c r="E558" s="5"/>
      <c r="F558" s="6"/>
      <c r="Q558" s="66" t="str">
        <f t="shared" si="19"/>
        <v/>
      </c>
      <c r="R558" s="30" t="str">
        <f t="shared" si="20"/>
        <v/>
      </c>
    </row>
    <row r="559" spans="1:18" ht="15.75" x14ac:dyDescent="0.25">
      <c r="A559" s="8"/>
      <c r="B559" s="9"/>
      <c r="C559" s="8"/>
      <c r="D559" s="22"/>
      <c r="E559" s="8"/>
      <c r="F559" s="9"/>
      <c r="Q559" s="48" t="str">
        <f t="shared" si="19"/>
        <v/>
      </c>
      <c r="R559" s="25" t="str">
        <f t="shared" si="20"/>
        <v/>
      </c>
    </row>
    <row r="560" spans="1:18" ht="15.75" x14ac:dyDescent="0.25">
      <c r="A560" s="5"/>
      <c r="B560" s="6"/>
      <c r="C560" s="5"/>
      <c r="D560" s="7"/>
      <c r="E560" s="5"/>
      <c r="F560" s="6"/>
      <c r="Q560" s="66" t="str">
        <f t="shared" si="19"/>
        <v/>
      </c>
      <c r="R560" s="30" t="str">
        <f t="shared" si="20"/>
        <v/>
      </c>
    </row>
    <row r="561" spans="1:18" ht="15.75" x14ac:dyDescent="0.25">
      <c r="A561" s="8"/>
      <c r="B561" s="9"/>
      <c r="C561" s="8"/>
      <c r="D561" s="22"/>
      <c r="E561" s="8"/>
      <c r="F561" s="9"/>
      <c r="Q561" s="48" t="str">
        <f t="shared" si="19"/>
        <v/>
      </c>
      <c r="R561" s="25" t="str">
        <f t="shared" si="20"/>
        <v/>
      </c>
    </row>
    <row r="562" spans="1:18" ht="15.75" x14ac:dyDescent="0.25">
      <c r="A562" s="5"/>
      <c r="B562" s="6"/>
      <c r="C562" s="5"/>
      <c r="D562" s="7"/>
      <c r="E562" s="5"/>
      <c r="F562" s="6"/>
      <c r="Q562" s="66" t="str">
        <f t="shared" si="19"/>
        <v/>
      </c>
      <c r="R562" s="30" t="str">
        <f t="shared" si="20"/>
        <v/>
      </c>
    </row>
    <row r="563" spans="1:18" ht="15.75" x14ac:dyDescent="0.25">
      <c r="A563" s="8"/>
      <c r="B563" s="9"/>
      <c r="C563" s="8"/>
      <c r="D563" s="22"/>
      <c r="E563" s="8"/>
      <c r="F563" s="9"/>
      <c r="Q563" s="48" t="str">
        <f t="shared" si="19"/>
        <v/>
      </c>
      <c r="R563" s="25" t="str">
        <f t="shared" si="20"/>
        <v/>
      </c>
    </row>
    <row r="564" spans="1:18" ht="15.75" x14ac:dyDescent="0.25">
      <c r="A564" s="5"/>
      <c r="B564" s="6"/>
      <c r="C564" s="5"/>
      <c r="D564" s="7"/>
      <c r="E564" s="5"/>
      <c r="F564" s="6"/>
      <c r="Q564" s="66" t="str">
        <f t="shared" si="19"/>
        <v/>
      </c>
      <c r="R564" s="30" t="str">
        <f t="shared" si="20"/>
        <v/>
      </c>
    </row>
    <row r="565" spans="1:18" ht="15.75" x14ac:dyDescent="0.25">
      <c r="A565" s="8"/>
      <c r="B565" s="9"/>
      <c r="C565" s="8"/>
      <c r="D565" s="22"/>
      <c r="E565" s="8"/>
      <c r="F565" s="9"/>
      <c r="Q565" s="48" t="str">
        <f t="shared" si="19"/>
        <v/>
      </c>
      <c r="R565" s="25" t="str">
        <f t="shared" si="20"/>
        <v/>
      </c>
    </row>
    <row r="566" spans="1:18" ht="15.75" x14ac:dyDescent="0.25">
      <c r="A566" s="5"/>
      <c r="B566" s="6"/>
      <c r="C566" s="5"/>
      <c r="D566" s="7"/>
      <c r="E566" s="5"/>
      <c r="F566" s="6"/>
      <c r="Q566" s="66" t="str">
        <f t="shared" si="19"/>
        <v/>
      </c>
      <c r="R566" s="30" t="str">
        <f t="shared" si="20"/>
        <v/>
      </c>
    </row>
    <row r="567" spans="1:18" ht="15.75" x14ac:dyDescent="0.25">
      <c r="A567" s="8"/>
      <c r="B567" s="9"/>
      <c r="C567" s="8"/>
      <c r="D567" s="22"/>
      <c r="E567" s="8"/>
      <c r="F567" s="9"/>
      <c r="Q567" s="48" t="str">
        <f t="shared" si="19"/>
        <v/>
      </c>
      <c r="R567" s="25" t="str">
        <f t="shared" si="20"/>
        <v/>
      </c>
    </row>
    <row r="568" spans="1:18" ht="15.75" x14ac:dyDescent="0.25">
      <c r="A568" s="5"/>
      <c r="B568" s="6"/>
      <c r="C568" s="5"/>
      <c r="D568" s="7"/>
      <c r="E568" s="5"/>
      <c r="F568" s="6"/>
      <c r="Q568" s="66" t="str">
        <f t="shared" si="19"/>
        <v/>
      </c>
      <c r="R568" s="30" t="str">
        <f t="shared" si="20"/>
        <v/>
      </c>
    </row>
    <row r="569" spans="1:18" ht="15.75" x14ac:dyDescent="0.25">
      <c r="A569" s="8"/>
      <c r="B569" s="9"/>
      <c r="C569" s="8"/>
      <c r="D569" s="22"/>
      <c r="E569" s="8"/>
      <c r="F569" s="9"/>
      <c r="Q569" s="48" t="str">
        <f t="shared" si="19"/>
        <v/>
      </c>
      <c r="R569" s="25" t="str">
        <f t="shared" si="20"/>
        <v/>
      </c>
    </row>
    <row r="570" spans="1:18" ht="15.75" x14ac:dyDescent="0.25">
      <c r="A570" s="5"/>
      <c r="B570" s="6"/>
      <c r="C570" s="5"/>
      <c r="D570" s="7"/>
      <c r="E570" s="5"/>
      <c r="F570" s="6"/>
      <c r="Q570" s="66" t="str">
        <f t="shared" si="19"/>
        <v/>
      </c>
      <c r="R570" s="30" t="str">
        <f t="shared" si="20"/>
        <v/>
      </c>
    </row>
    <row r="571" spans="1:18" ht="15.75" x14ac:dyDescent="0.25">
      <c r="A571" s="8"/>
      <c r="B571" s="9"/>
      <c r="C571" s="8"/>
      <c r="D571" s="22"/>
      <c r="E571" s="8"/>
      <c r="F571" s="9"/>
      <c r="Q571" s="48" t="str">
        <f t="shared" si="19"/>
        <v/>
      </c>
      <c r="R571" s="25" t="str">
        <f t="shared" si="20"/>
        <v/>
      </c>
    </row>
    <row r="572" spans="1:18" ht="15.75" x14ac:dyDescent="0.25">
      <c r="A572" s="5"/>
      <c r="B572" s="6"/>
      <c r="C572" s="5"/>
      <c r="D572" s="7"/>
      <c r="E572" s="5"/>
      <c r="F572" s="6"/>
      <c r="Q572" s="66" t="str">
        <f t="shared" si="19"/>
        <v/>
      </c>
      <c r="R572" s="30" t="str">
        <f t="shared" si="20"/>
        <v/>
      </c>
    </row>
    <row r="573" spans="1:18" ht="15.75" x14ac:dyDescent="0.25">
      <c r="A573" s="8"/>
      <c r="B573" s="9"/>
      <c r="C573" s="8"/>
      <c r="D573" s="22"/>
      <c r="E573" s="8"/>
      <c r="F573" s="9"/>
      <c r="Q573" s="48" t="str">
        <f t="shared" si="19"/>
        <v/>
      </c>
      <c r="R573" s="25" t="str">
        <f t="shared" si="20"/>
        <v/>
      </c>
    </row>
    <row r="574" spans="1:18" ht="15.75" x14ac:dyDescent="0.25">
      <c r="A574" s="5"/>
      <c r="B574" s="6"/>
      <c r="C574" s="5"/>
      <c r="D574" s="7"/>
      <c r="E574" s="5"/>
      <c r="F574" s="6"/>
      <c r="Q574" s="66" t="str">
        <f t="shared" si="19"/>
        <v/>
      </c>
      <c r="R574" s="30" t="str">
        <f t="shared" si="20"/>
        <v/>
      </c>
    </row>
    <row r="575" spans="1:18" ht="15.75" x14ac:dyDescent="0.25">
      <c r="A575" s="8"/>
      <c r="B575" s="9"/>
      <c r="C575" s="8"/>
      <c r="D575" s="22"/>
      <c r="E575" s="8"/>
      <c r="F575" s="9"/>
      <c r="Q575" s="48" t="str">
        <f t="shared" si="19"/>
        <v/>
      </c>
      <c r="R575" s="25" t="str">
        <f t="shared" si="20"/>
        <v/>
      </c>
    </row>
    <row r="576" spans="1:18" ht="15.75" x14ac:dyDescent="0.25">
      <c r="A576" s="5"/>
      <c r="B576" s="6"/>
      <c r="C576" s="5"/>
      <c r="D576" s="7"/>
      <c r="E576" s="5"/>
      <c r="F576" s="6"/>
      <c r="Q576" s="66" t="str">
        <f t="shared" si="19"/>
        <v/>
      </c>
      <c r="R576" s="30" t="str">
        <f t="shared" si="20"/>
        <v/>
      </c>
    </row>
    <row r="577" spans="1:18" ht="15.75" x14ac:dyDescent="0.25">
      <c r="A577" s="8"/>
      <c r="B577" s="9"/>
      <c r="C577" s="8"/>
      <c r="D577" s="22"/>
      <c r="E577" s="8"/>
      <c r="F577" s="9"/>
      <c r="Q577" s="48" t="str">
        <f t="shared" si="19"/>
        <v/>
      </c>
      <c r="R577" s="25" t="str">
        <f t="shared" si="20"/>
        <v/>
      </c>
    </row>
    <row r="578" spans="1:18" ht="15.75" x14ac:dyDescent="0.25">
      <c r="A578" s="5"/>
      <c r="B578" s="6"/>
      <c r="C578" s="5"/>
      <c r="D578" s="7"/>
      <c r="E578" s="5"/>
      <c r="F578" s="6"/>
      <c r="Q578" s="66" t="str">
        <f t="shared" si="19"/>
        <v/>
      </c>
      <c r="R578" s="30" t="str">
        <f t="shared" si="20"/>
        <v/>
      </c>
    </row>
    <row r="579" spans="1:18" ht="15.75" x14ac:dyDescent="0.25">
      <c r="A579" s="8"/>
      <c r="B579" s="9"/>
      <c r="C579" s="8"/>
      <c r="D579" s="22"/>
      <c r="E579" s="8"/>
      <c r="F579" s="9"/>
      <c r="Q579" s="48" t="str">
        <f t="shared" ref="Q579:Q642" si="21">IF(A579=$K$2,D579/60*$N$2,IF(A579=$K$3,D579/60*$N$3,IF(A579=$K$4,D579/60*$N$4,IF(A579=$K$5,D579/60*$N$5,IF(A579=$K$6,D579/60*$N$6,IF(A579=$K$7,D579/60*$N$7,IF(A579=$K$8,D579/60*$N$8,"")))))))</f>
        <v/>
      </c>
      <c r="R579" s="25" t="str">
        <f t="shared" ref="R579:R642" si="22">IF(D579="","",D579/$S$2)</f>
        <v/>
      </c>
    </row>
    <row r="580" spans="1:18" ht="15.75" x14ac:dyDescent="0.25">
      <c r="A580" s="5"/>
      <c r="B580" s="6"/>
      <c r="C580" s="5"/>
      <c r="D580" s="7"/>
      <c r="E580" s="5"/>
      <c r="F580" s="6"/>
      <c r="Q580" s="66" t="str">
        <f t="shared" si="21"/>
        <v/>
      </c>
      <c r="R580" s="30" t="str">
        <f t="shared" si="22"/>
        <v/>
      </c>
    </row>
    <row r="581" spans="1:18" ht="15.75" x14ac:dyDescent="0.25">
      <c r="A581" s="8"/>
      <c r="B581" s="9"/>
      <c r="C581" s="8"/>
      <c r="D581" s="22"/>
      <c r="E581" s="8"/>
      <c r="F581" s="9"/>
      <c r="Q581" s="48" t="str">
        <f t="shared" si="21"/>
        <v/>
      </c>
      <c r="R581" s="25" t="str">
        <f t="shared" si="22"/>
        <v/>
      </c>
    </row>
    <row r="582" spans="1:18" ht="15.75" x14ac:dyDescent="0.25">
      <c r="A582" s="5"/>
      <c r="B582" s="6"/>
      <c r="C582" s="5"/>
      <c r="D582" s="7"/>
      <c r="E582" s="5"/>
      <c r="F582" s="6"/>
      <c r="Q582" s="66" t="str">
        <f t="shared" si="21"/>
        <v/>
      </c>
      <c r="R582" s="30" t="str">
        <f t="shared" si="22"/>
        <v/>
      </c>
    </row>
    <row r="583" spans="1:18" ht="15.75" x14ac:dyDescent="0.25">
      <c r="A583" s="8"/>
      <c r="B583" s="9"/>
      <c r="C583" s="8"/>
      <c r="D583" s="22"/>
      <c r="E583" s="8"/>
      <c r="F583" s="9"/>
      <c r="Q583" s="48" t="str">
        <f t="shared" si="21"/>
        <v/>
      </c>
      <c r="R583" s="25" t="str">
        <f t="shared" si="22"/>
        <v/>
      </c>
    </row>
    <row r="584" spans="1:18" ht="15.75" x14ac:dyDescent="0.25">
      <c r="A584" s="5"/>
      <c r="B584" s="6"/>
      <c r="C584" s="5"/>
      <c r="D584" s="7"/>
      <c r="E584" s="5"/>
      <c r="F584" s="6"/>
      <c r="Q584" s="66" t="str">
        <f t="shared" si="21"/>
        <v/>
      </c>
      <c r="R584" s="30" t="str">
        <f t="shared" si="22"/>
        <v/>
      </c>
    </row>
    <row r="585" spans="1:18" ht="15.75" x14ac:dyDescent="0.25">
      <c r="A585" s="8"/>
      <c r="B585" s="9"/>
      <c r="C585" s="8"/>
      <c r="D585" s="22"/>
      <c r="E585" s="8"/>
      <c r="F585" s="9"/>
      <c r="Q585" s="48" t="str">
        <f t="shared" si="21"/>
        <v/>
      </c>
      <c r="R585" s="25" t="str">
        <f t="shared" si="22"/>
        <v/>
      </c>
    </row>
    <row r="586" spans="1:18" ht="15.75" x14ac:dyDescent="0.25">
      <c r="A586" s="5"/>
      <c r="B586" s="6"/>
      <c r="C586" s="5"/>
      <c r="D586" s="7"/>
      <c r="E586" s="5"/>
      <c r="F586" s="6"/>
      <c r="Q586" s="66" t="str">
        <f t="shared" si="21"/>
        <v/>
      </c>
      <c r="R586" s="30" t="str">
        <f t="shared" si="22"/>
        <v/>
      </c>
    </row>
    <row r="587" spans="1:18" ht="15.75" x14ac:dyDescent="0.25">
      <c r="A587" s="8"/>
      <c r="B587" s="9"/>
      <c r="C587" s="8"/>
      <c r="D587" s="22"/>
      <c r="E587" s="8"/>
      <c r="F587" s="9"/>
      <c r="Q587" s="48" t="str">
        <f t="shared" si="21"/>
        <v/>
      </c>
      <c r="R587" s="25" t="str">
        <f t="shared" si="22"/>
        <v/>
      </c>
    </row>
    <row r="588" spans="1:18" ht="15.75" x14ac:dyDescent="0.25">
      <c r="A588" s="5"/>
      <c r="B588" s="6"/>
      <c r="C588" s="5"/>
      <c r="D588" s="7"/>
      <c r="E588" s="5"/>
      <c r="F588" s="6"/>
      <c r="Q588" s="66" t="str">
        <f t="shared" si="21"/>
        <v/>
      </c>
      <c r="R588" s="30" t="str">
        <f t="shared" si="22"/>
        <v/>
      </c>
    </row>
    <row r="589" spans="1:18" ht="15.75" x14ac:dyDescent="0.25">
      <c r="A589" s="8"/>
      <c r="B589" s="9"/>
      <c r="C589" s="8"/>
      <c r="D589" s="22"/>
      <c r="E589" s="8"/>
      <c r="F589" s="9"/>
      <c r="Q589" s="48" t="str">
        <f t="shared" si="21"/>
        <v/>
      </c>
      <c r="R589" s="25" t="str">
        <f t="shared" si="22"/>
        <v/>
      </c>
    </row>
    <row r="590" spans="1:18" ht="15.75" x14ac:dyDescent="0.25">
      <c r="A590" s="5"/>
      <c r="B590" s="6"/>
      <c r="C590" s="5"/>
      <c r="D590" s="7"/>
      <c r="E590" s="5"/>
      <c r="F590" s="6"/>
      <c r="Q590" s="66" t="str">
        <f t="shared" si="21"/>
        <v/>
      </c>
      <c r="R590" s="30" t="str">
        <f t="shared" si="22"/>
        <v/>
      </c>
    </row>
    <row r="591" spans="1:18" ht="15.75" x14ac:dyDescent="0.25">
      <c r="A591" s="8"/>
      <c r="B591" s="9"/>
      <c r="C591" s="8"/>
      <c r="D591" s="22"/>
      <c r="E591" s="8"/>
      <c r="F591" s="9"/>
      <c r="Q591" s="48" t="str">
        <f t="shared" si="21"/>
        <v/>
      </c>
      <c r="R591" s="25" t="str">
        <f t="shared" si="22"/>
        <v/>
      </c>
    </row>
    <row r="592" spans="1:18" ht="15.75" x14ac:dyDescent="0.25">
      <c r="A592" s="5"/>
      <c r="B592" s="6"/>
      <c r="C592" s="5"/>
      <c r="D592" s="7"/>
      <c r="E592" s="5"/>
      <c r="F592" s="6"/>
      <c r="Q592" s="66" t="str">
        <f t="shared" si="21"/>
        <v/>
      </c>
      <c r="R592" s="30" t="str">
        <f t="shared" si="22"/>
        <v/>
      </c>
    </row>
    <row r="593" spans="1:18" ht="15.75" x14ac:dyDescent="0.25">
      <c r="A593" s="8"/>
      <c r="B593" s="9"/>
      <c r="C593" s="8"/>
      <c r="D593" s="22"/>
      <c r="E593" s="8"/>
      <c r="F593" s="9"/>
      <c r="Q593" s="48" t="str">
        <f t="shared" si="21"/>
        <v/>
      </c>
      <c r="R593" s="25" t="str">
        <f t="shared" si="22"/>
        <v/>
      </c>
    </row>
    <row r="594" spans="1:18" ht="15.75" x14ac:dyDescent="0.25">
      <c r="A594" s="5"/>
      <c r="B594" s="6"/>
      <c r="C594" s="5"/>
      <c r="D594" s="7"/>
      <c r="E594" s="5"/>
      <c r="F594" s="6"/>
      <c r="Q594" s="66" t="str">
        <f t="shared" si="21"/>
        <v/>
      </c>
      <c r="R594" s="30" t="str">
        <f t="shared" si="22"/>
        <v/>
      </c>
    </row>
    <row r="595" spans="1:18" ht="15.75" x14ac:dyDescent="0.25">
      <c r="A595" s="8"/>
      <c r="B595" s="9"/>
      <c r="C595" s="8"/>
      <c r="D595" s="22"/>
      <c r="E595" s="8"/>
      <c r="F595" s="9"/>
      <c r="Q595" s="48" t="str">
        <f t="shared" si="21"/>
        <v/>
      </c>
      <c r="R595" s="25" t="str">
        <f t="shared" si="22"/>
        <v/>
      </c>
    </row>
    <row r="596" spans="1:18" ht="15.75" x14ac:dyDescent="0.25">
      <c r="A596" s="5"/>
      <c r="B596" s="6"/>
      <c r="C596" s="5"/>
      <c r="D596" s="7"/>
      <c r="E596" s="5"/>
      <c r="F596" s="6"/>
      <c r="Q596" s="66" t="str">
        <f t="shared" si="21"/>
        <v/>
      </c>
      <c r="R596" s="30" t="str">
        <f t="shared" si="22"/>
        <v/>
      </c>
    </row>
    <row r="597" spans="1:18" ht="15.75" x14ac:dyDescent="0.25">
      <c r="A597" s="8"/>
      <c r="B597" s="9"/>
      <c r="C597" s="8"/>
      <c r="D597" s="22"/>
      <c r="E597" s="8"/>
      <c r="F597" s="9"/>
      <c r="Q597" s="48" t="str">
        <f t="shared" si="21"/>
        <v/>
      </c>
      <c r="R597" s="25" t="str">
        <f t="shared" si="22"/>
        <v/>
      </c>
    </row>
    <row r="598" spans="1:18" ht="15.75" x14ac:dyDescent="0.25">
      <c r="A598" s="5"/>
      <c r="B598" s="6"/>
      <c r="C598" s="5"/>
      <c r="D598" s="7"/>
      <c r="E598" s="5"/>
      <c r="F598" s="6"/>
      <c r="Q598" s="66" t="str">
        <f t="shared" si="21"/>
        <v/>
      </c>
      <c r="R598" s="30" t="str">
        <f t="shared" si="22"/>
        <v/>
      </c>
    </row>
    <row r="599" spans="1:18" ht="15.75" x14ac:dyDescent="0.25">
      <c r="A599" s="8"/>
      <c r="B599" s="9"/>
      <c r="C599" s="8"/>
      <c r="D599" s="22"/>
      <c r="E599" s="8"/>
      <c r="F599" s="9"/>
      <c r="Q599" s="48" t="str">
        <f t="shared" si="21"/>
        <v/>
      </c>
      <c r="R599" s="25" t="str">
        <f t="shared" si="22"/>
        <v/>
      </c>
    </row>
    <row r="600" spans="1:18" ht="15.75" x14ac:dyDescent="0.25">
      <c r="A600" s="5"/>
      <c r="B600" s="6"/>
      <c r="C600" s="5"/>
      <c r="D600" s="7"/>
      <c r="E600" s="5"/>
      <c r="F600" s="6"/>
      <c r="Q600" s="66" t="str">
        <f t="shared" si="21"/>
        <v/>
      </c>
      <c r="R600" s="30" t="str">
        <f t="shared" si="22"/>
        <v/>
      </c>
    </row>
    <row r="601" spans="1:18" ht="15.75" x14ac:dyDescent="0.25">
      <c r="A601" s="8"/>
      <c r="B601" s="9"/>
      <c r="C601" s="8"/>
      <c r="D601" s="22"/>
      <c r="E601" s="8"/>
      <c r="F601" s="9"/>
      <c r="Q601" s="48" t="str">
        <f t="shared" si="21"/>
        <v/>
      </c>
      <c r="R601" s="25" t="str">
        <f t="shared" si="22"/>
        <v/>
      </c>
    </row>
    <row r="602" spans="1:18" ht="15.75" x14ac:dyDescent="0.25">
      <c r="A602" s="5"/>
      <c r="B602" s="6"/>
      <c r="C602" s="5"/>
      <c r="D602" s="7"/>
      <c r="E602" s="5"/>
      <c r="F602" s="6"/>
      <c r="Q602" s="66" t="str">
        <f t="shared" si="21"/>
        <v/>
      </c>
      <c r="R602" s="30" t="str">
        <f t="shared" si="22"/>
        <v/>
      </c>
    </row>
    <row r="603" spans="1:18" ht="15.75" x14ac:dyDescent="0.25">
      <c r="A603" s="8"/>
      <c r="B603" s="9"/>
      <c r="C603" s="8"/>
      <c r="D603" s="22"/>
      <c r="E603" s="8"/>
      <c r="F603" s="9"/>
      <c r="Q603" s="48" t="str">
        <f t="shared" si="21"/>
        <v/>
      </c>
      <c r="R603" s="25" t="str">
        <f t="shared" si="22"/>
        <v/>
      </c>
    </row>
    <row r="604" spans="1:18" ht="15.75" x14ac:dyDescent="0.25">
      <c r="A604" s="5"/>
      <c r="B604" s="6"/>
      <c r="C604" s="5"/>
      <c r="D604" s="7"/>
      <c r="E604" s="5"/>
      <c r="F604" s="6"/>
      <c r="Q604" s="66" t="str">
        <f t="shared" si="21"/>
        <v/>
      </c>
      <c r="R604" s="30" t="str">
        <f t="shared" si="22"/>
        <v/>
      </c>
    </row>
    <row r="605" spans="1:18" ht="15.75" x14ac:dyDescent="0.25">
      <c r="A605" s="8"/>
      <c r="B605" s="9"/>
      <c r="C605" s="8"/>
      <c r="D605" s="22"/>
      <c r="E605" s="8"/>
      <c r="F605" s="9"/>
      <c r="Q605" s="48" t="str">
        <f t="shared" si="21"/>
        <v/>
      </c>
      <c r="R605" s="25" t="str">
        <f t="shared" si="22"/>
        <v/>
      </c>
    </row>
    <row r="606" spans="1:18" ht="15.75" x14ac:dyDescent="0.25">
      <c r="A606" s="5"/>
      <c r="B606" s="6"/>
      <c r="C606" s="5"/>
      <c r="D606" s="7"/>
      <c r="E606" s="5"/>
      <c r="F606" s="6"/>
      <c r="Q606" s="66" t="str">
        <f t="shared" si="21"/>
        <v/>
      </c>
      <c r="R606" s="30" t="str">
        <f t="shared" si="22"/>
        <v/>
      </c>
    </row>
    <row r="607" spans="1:18" ht="15.75" x14ac:dyDescent="0.25">
      <c r="A607" s="8"/>
      <c r="B607" s="9"/>
      <c r="C607" s="8"/>
      <c r="D607" s="22"/>
      <c r="E607" s="8"/>
      <c r="F607" s="9"/>
      <c r="Q607" s="48" t="str">
        <f t="shared" si="21"/>
        <v/>
      </c>
      <c r="R607" s="25" t="str">
        <f t="shared" si="22"/>
        <v/>
      </c>
    </row>
    <row r="608" spans="1:18" ht="15.75" x14ac:dyDescent="0.25">
      <c r="A608" s="5"/>
      <c r="B608" s="6"/>
      <c r="C608" s="5"/>
      <c r="D608" s="7"/>
      <c r="E608" s="5"/>
      <c r="F608" s="6"/>
      <c r="Q608" s="66" t="str">
        <f t="shared" si="21"/>
        <v/>
      </c>
      <c r="R608" s="30" t="str">
        <f t="shared" si="22"/>
        <v/>
      </c>
    </row>
    <row r="609" spans="1:18" ht="15.75" x14ac:dyDescent="0.25">
      <c r="A609" s="8"/>
      <c r="B609" s="9"/>
      <c r="C609" s="8"/>
      <c r="D609" s="22"/>
      <c r="E609" s="8"/>
      <c r="F609" s="9"/>
      <c r="Q609" s="48" t="str">
        <f t="shared" si="21"/>
        <v/>
      </c>
      <c r="R609" s="25" t="str">
        <f t="shared" si="22"/>
        <v/>
      </c>
    </row>
    <row r="610" spans="1:18" ht="15.75" x14ac:dyDescent="0.25">
      <c r="A610" s="5"/>
      <c r="B610" s="6"/>
      <c r="C610" s="5"/>
      <c r="D610" s="7"/>
      <c r="E610" s="5"/>
      <c r="F610" s="6"/>
      <c r="Q610" s="66" t="str">
        <f t="shared" si="21"/>
        <v/>
      </c>
      <c r="R610" s="30" t="str">
        <f t="shared" si="22"/>
        <v/>
      </c>
    </row>
    <row r="611" spans="1:18" ht="15.75" x14ac:dyDescent="0.25">
      <c r="A611" s="8"/>
      <c r="B611" s="9"/>
      <c r="C611" s="8"/>
      <c r="D611" s="22"/>
      <c r="E611" s="8"/>
      <c r="F611" s="9"/>
      <c r="Q611" s="48" t="str">
        <f t="shared" si="21"/>
        <v/>
      </c>
      <c r="R611" s="25" t="str">
        <f t="shared" si="22"/>
        <v/>
      </c>
    </row>
    <row r="612" spans="1:18" ht="15.75" x14ac:dyDescent="0.25">
      <c r="A612" s="5"/>
      <c r="B612" s="6"/>
      <c r="C612" s="5"/>
      <c r="D612" s="7"/>
      <c r="E612" s="5"/>
      <c r="F612" s="6"/>
      <c r="Q612" s="66" t="str">
        <f t="shared" si="21"/>
        <v/>
      </c>
      <c r="R612" s="30" t="str">
        <f t="shared" si="22"/>
        <v/>
      </c>
    </row>
    <row r="613" spans="1:18" ht="15.75" x14ac:dyDescent="0.25">
      <c r="A613" s="8"/>
      <c r="B613" s="9"/>
      <c r="C613" s="8"/>
      <c r="D613" s="22"/>
      <c r="E613" s="8"/>
      <c r="F613" s="9"/>
      <c r="Q613" s="48" t="str">
        <f t="shared" si="21"/>
        <v/>
      </c>
      <c r="R613" s="25" t="str">
        <f t="shared" si="22"/>
        <v/>
      </c>
    </row>
    <row r="614" spans="1:18" ht="15.75" x14ac:dyDescent="0.25">
      <c r="A614" s="5"/>
      <c r="B614" s="6"/>
      <c r="C614" s="5"/>
      <c r="D614" s="7"/>
      <c r="E614" s="5"/>
      <c r="F614" s="6"/>
      <c r="Q614" s="66" t="str">
        <f t="shared" si="21"/>
        <v/>
      </c>
      <c r="R614" s="30" t="str">
        <f t="shared" si="22"/>
        <v/>
      </c>
    </row>
    <row r="615" spans="1:18" ht="15.75" x14ac:dyDescent="0.25">
      <c r="A615" s="8"/>
      <c r="B615" s="9"/>
      <c r="C615" s="8"/>
      <c r="D615" s="22"/>
      <c r="E615" s="8"/>
      <c r="F615" s="9"/>
      <c r="Q615" s="48" t="str">
        <f t="shared" si="21"/>
        <v/>
      </c>
      <c r="R615" s="25" t="str">
        <f t="shared" si="22"/>
        <v/>
      </c>
    </row>
    <row r="616" spans="1:18" ht="15.75" x14ac:dyDescent="0.25">
      <c r="A616" s="5"/>
      <c r="B616" s="6"/>
      <c r="C616" s="5"/>
      <c r="D616" s="7"/>
      <c r="E616" s="5"/>
      <c r="F616" s="6"/>
      <c r="Q616" s="66" t="str">
        <f t="shared" si="21"/>
        <v/>
      </c>
      <c r="R616" s="30" t="str">
        <f t="shared" si="22"/>
        <v/>
      </c>
    </row>
    <row r="617" spans="1:18" ht="15.75" x14ac:dyDescent="0.25">
      <c r="A617" s="8"/>
      <c r="B617" s="9"/>
      <c r="C617" s="8"/>
      <c r="D617" s="22"/>
      <c r="E617" s="8"/>
      <c r="F617" s="9"/>
      <c r="Q617" s="48" t="str">
        <f t="shared" si="21"/>
        <v/>
      </c>
      <c r="R617" s="25" t="str">
        <f t="shared" si="22"/>
        <v/>
      </c>
    </row>
    <row r="618" spans="1:18" ht="15.75" x14ac:dyDescent="0.25">
      <c r="A618" s="5"/>
      <c r="B618" s="6"/>
      <c r="C618" s="5"/>
      <c r="D618" s="7"/>
      <c r="E618" s="5"/>
      <c r="F618" s="6"/>
      <c r="Q618" s="66" t="str">
        <f t="shared" si="21"/>
        <v/>
      </c>
      <c r="R618" s="30" t="str">
        <f t="shared" si="22"/>
        <v/>
      </c>
    </row>
    <row r="619" spans="1:18" ht="15.75" x14ac:dyDescent="0.25">
      <c r="A619" s="8"/>
      <c r="B619" s="9"/>
      <c r="C619" s="8"/>
      <c r="D619" s="22"/>
      <c r="E619" s="8"/>
      <c r="F619" s="9"/>
      <c r="Q619" s="48" t="str">
        <f t="shared" si="21"/>
        <v/>
      </c>
      <c r="R619" s="25" t="str">
        <f t="shared" si="22"/>
        <v/>
      </c>
    </row>
    <row r="620" spans="1:18" ht="15.75" x14ac:dyDescent="0.25">
      <c r="A620" s="5"/>
      <c r="B620" s="6"/>
      <c r="C620" s="5"/>
      <c r="D620" s="7"/>
      <c r="E620" s="5"/>
      <c r="F620" s="6"/>
      <c r="Q620" s="66" t="str">
        <f t="shared" si="21"/>
        <v/>
      </c>
      <c r="R620" s="30" t="str">
        <f t="shared" si="22"/>
        <v/>
      </c>
    </row>
    <row r="621" spans="1:18" ht="15.75" x14ac:dyDescent="0.25">
      <c r="A621" s="8"/>
      <c r="B621" s="9"/>
      <c r="C621" s="8"/>
      <c r="D621" s="22"/>
      <c r="E621" s="8"/>
      <c r="F621" s="9"/>
      <c r="Q621" s="48" t="str">
        <f t="shared" si="21"/>
        <v/>
      </c>
      <c r="R621" s="25" t="str">
        <f t="shared" si="22"/>
        <v/>
      </c>
    </row>
    <row r="622" spans="1:18" ht="15.75" x14ac:dyDescent="0.25">
      <c r="A622" s="5"/>
      <c r="B622" s="6"/>
      <c r="C622" s="5"/>
      <c r="D622" s="7"/>
      <c r="E622" s="5"/>
      <c r="F622" s="6"/>
      <c r="Q622" s="66" t="str">
        <f t="shared" si="21"/>
        <v/>
      </c>
      <c r="R622" s="30" t="str">
        <f t="shared" si="22"/>
        <v/>
      </c>
    </row>
    <row r="623" spans="1:18" ht="15.75" x14ac:dyDescent="0.25">
      <c r="A623" s="8"/>
      <c r="B623" s="9"/>
      <c r="C623" s="8"/>
      <c r="D623" s="22"/>
      <c r="E623" s="8"/>
      <c r="F623" s="9"/>
      <c r="Q623" s="48" t="str">
        <f t="shared" si="21"/>
        <v/>
      </c>
      <c r="R623" s="25" t="str">
        <f t="shared" si="22"/>
        <v/>
      </c>
    </row>
    <row r="624" spans="1:18" ht="15.75" x14ac:dyDescent="0.25">
      <c r="A624" s="5"/>
      <c r="B624" s="6"/>
      <c r="C624" s="5"/>
      <c r="D624" s="7"/>
      <c r="E624" s="5"/>
      <c r="F624" s="6"/>
      <c r="Q624" s="66" t="str">
        <f t="shared" si="21"/>
        <v/>
      </c>
      <c r="R624" s="30" t="str">
        <f t="shared" si="22"/>
        <v/>
      </c>
    </row>
    <row r="625" spans="1:18" ht="15.75" x14ac:dyDescent="0.25">
      <c r="A625" s="8"/>
      <c r="B625" s="9"/>
      <c r="C625" s="8"/>
      <c r="D625" s="22"/>
      <c r="E625" s="8"/>
      <c r="F625" s="9"/>
      <c r="Q625" s="48" t="str">
        <f t="shared" si="21"/>
        <v/>
      </c>
      <c r="R625" s="25" t="str">
        <f t="shared" si="22"/>
        <v/>
      </c>
    </row>
    <row r="626" spans="1:18" ht="15.75" x14ac:dyDescent="0.25">
      <c r="A626" s="5"/>
      <c r="B626" s="6"/>
      <c r="C626" s="5"/>
      <c r="D626" s="7"/>
      <c r="E626" s="5"/>
      <c r="F626" s="6"/>
      <c r="Q626" s="66" t="str">
        <f t="shared" si="21"/>
        <v/>
      </c>
      <c r="R626" s="30" t="str">
        <f t="shared" si="22"/>
        <v/>
      </c>
    </row>
    <row r="627" spans="1:18" ht="15.75" x14ac:dyDescent="0.25">
      <c r="A627" s="8"/>
      <c r="B627" s="9"/>
      <c r="C627" s="8"/>
      <c r="D627" s="22"/>
      <c r="E627" s="8"/>
      <c r="F627" s="9"/>
      <c r="Q627" s="48" t="str">
        <f t="shared" si="21"/>
        <v/>
      </c>
      <c r="R627" s="25" t="str">
        <f t="shared" si="22"/>
        <v/>
      </c>
    </row>
    <row r="628" spans="1:18" ht="15.75" x14ac:dyDescent="0.25">
      <c r="A628" s="5"/>
      <c r="B628" s="6"/>
      <c r="C628" s="5"/>
      <c r="D628" s="7"/>
      <c r="E628" s="5"/>
      <c r="F628" s="6"/>
      <c r="Q628" s="66" t="str">
        <f t="shared" si="21"/>
        <v/>
      </c>
      <c r="R628" s="30" t="str">
        <f t="shared" si="22"/>
        <v/>
      </c>
    </row>
    <row r="629" spans="1:18" ht="15.75" x14ac:dyDescent="0.25">
      <c r="A629" s="8"/>
      <c r="B629" s="9"/>
      <c r="C629" s="8"/>
      <c r="D629" s="22"/>
      <c r="E629" s="8"/>
      <c r="F629" s="9"/>
      <c r="Q629" s="48" t="str">
        <f t="shared" si="21"/>
        <v/>
      </c>
      <c r="R629" s="25" t="str">
        <f t="shared" si="22"/>
        <v/>
      </c>
    </row>
    <row r="630" spans="1:18" ht="15.75" x14ac:dyDescent="0.25">
      <c r="A630" s="5"/>
      <c r="B630" s="6"/>
      <c r="C630" s="5"/>
      <c r="D630" s="7"/>
      <c r="E630" s="5"/>
      <c r="F630" s="6"/>
      <c r="Q630" s="66" t="str">
        <f t="shared" si="21"/>
        <v/>
      </c>
      <c r="R630" s="30" t="str">
        <f t="shared" si="22"/>
        <v/>
      </c>
    </row>
    <row r="631" spans="1:18" ht="15.75" x14ac:dyDescent="0.25">
      <c r="A631" s="8"/>
      <c r="B631" s="9"/>
      <c r="C631" s="8"/>
      <c r="D631" s="22"/>
      <c r="E631" s="8"/>
      <c r="F631" s="9"/>
      <c r="Q631" s="48" t="str">
        <f t="shared" si="21"/>
        <v/>
      </c>
      <c r="R631" s="25" t="str">
        <f t="shared" si="22"/>
        <v/>
      </c>
    </row>
    <row r="632" spans="1:18" ht="15.75" x14ac:dyDescent="0.25">
      <c r="A632" s="5"/>
      <c r="B632" s="6"/>
      <c r="C632" s="5"/>
      <c r="D632" s="7"/>
      <c r="E632" s="5"/>
      <c r="F632" s="6"/>
      <c r="Q632" s="66" t="str">
        <f t="shared" si="21"/>
        <v/>
      </c>
      <c r="R632" s="30" t="str">
        <f t="shared" si="22"/>
        <v/>
      </c>
    </row>
    <row r="633" spans="1:18" ht="15.75" x14ac:dyDescent="0.25">
      <c r="A633" s="8"/>
      <c r="B633" s="9"/>
      <c r="C633" s="8"/>
      <c r="D633" s="22"/>
      <c r="E633" s="8"/>
      <c r="F633" s="9"/>
      <c r="Q633" s="48" t="str">
        <f t="shared" si="21"/>
        <v/>
      </c>
      <c r="R633" s="25" t="str">
        <f t="shared" si="22"/>
        <v/>
      </c>
    </row>
    <row r="634" spans="1:18" ht="15.75" x14ac:dyDescent="0.25">
      <c r="A634" s="5"/>
      <c r="B634" s="6"/>
      <c r="C634" s="5"/>
      <c r="D634" s="7"/>
      <c r="E634" s="5"/>
      <c r="F634" s="6"/>
      <c r="Q634" s="66" t="str">
        <f t="shared" si="21"/>
        <v/>
      </c>
      <c r="R634" s="30" t="str">
        <f t="shared" si="22"/>
        <v/>
      </c>
    </row>
    <row r="635" spans="1:18" ht="15.75" x14ac:dyDescent="0.25">
      <c r="A635" s="8"/>
      <c r="B635" s="9"/>
      <c r="C635" s="8"/>
      <c r="D635" s="22"/>
      <c r="E635" s="8"/>
      <c r="F635" s="9"/>
      <c r="Q635" s="48" t="str">
        <f t="shared" si="21"/>
        <v/>
      </c>
      <c r="R635" s="25" t="str">
        <f t="shared" si="22"/>
        <v/>
      </c>
    </row>
    <row r="636" spans="1:18" ht="15.75" x14ac:dyDescent="0.25">
      <c r="A636" s="5"/>
      <c r="B636" s="6"/>
      <c r="C636" s="5"/>
      <c r="D636" s="7"/>
      <c r="E636" s="5"/>
      <c r="F636" s="6"/>
      <c r="Q636" s="66" t="str">
        <f t="shared" si="21"/>
        <v/>
      </c>
      <c r="R636" s="30" t="str">
        <f t="shared" si="22"/>
        <v/>
      </c>
    </row>
    <row r="637" spans="1:18" ht="15.75" x14ac:dyDescent="0.25">
      <c r="A637" s="8"/>
      <c r="B637" s="9"/>
      <c r="C637" s="8"/>
      <c r="D637" s="22"/>
      <c r="E637" s="8"/>
      <c r="F637" s="9"/>
      <c r="Q637" s="48" t="str">
        <f t="shared" si="21"/>
        <v/>
      </c>
      <c r="R637" s="25" t="str">
        <f t="shared" si="22"/>
        <v/>
      </c>
    </row>
    <row r="638" spans="1:18" ht="15.75" x14ac:dyDescent="0.25">
      <c r="A638" s="5"/>
      <c r="B638" s="6"/>
      <c r="C638" s="5"/>
      <c r="D638" s="7"/>
      <c r="E638" s="5"/>
      <c r="F638" s="6"/>
      <c r="Q638" s="66" t="str">
        <f t="shared" si="21"/>
        <v/>
      </c>
      <c r="R638" s="30" t="str">
        <f t="shared" si="22"/>
        <v/>
      </c>
    </row>
    <row r="639" spans="1:18" ht="15.75" x14ac:dyDescent="0.25">
      <c r="A639" s="8"/>
      <c r="B639" s="9"/>
      <c r="C639" s="8"/>
      <c r="D639" s="22"/>
      <c r="E639" s="8"/>
      <c r="F639" s="9"/>
      <c r="Q639" s="48" t="str">
        <f t="shared" si="21"/>
        <v/>
      </c>
      <c r="R639" s="25" t="str">
        <f t="shared" si="22"/>
        <v/>
      </c>
    </row>
    <row r="640" spans="1:18" ht="15.75" x14ac:dyDescent="0.25">
      <c r="A640" s="5"/>
      <c r="B640" s="6"/>
      <c r="C640" s="5"/>
      <c r="D640" s="7"/>
      <c r="E640" s="5"/>
      <c r="F640" s="6"/>
      <c r="Q640" s="66" t="str">
        <f t="shared" si="21"/>
        <v/>
      </c>
      <c r="R640" s="30" t="str">
        <f t="shared" si="22"/>
        <v/>
      </c>
    </row>
    <row r="641" spans="1:18" ht="15.75" x14ac:dyDescent="0.25">
      <c r="A641" s="8"/>
      <c r="B641" s="9"/>
      <c r="C641" s="8"/>
      <c r="D641" s="22"/>
      <c r="E641" s="8"/>
      <c r="F641" s="9"/>
      <c r="Q641" s="48" t="str">
        <f t="shared" si="21"/>
        <v/>
      </c>
      <c r="R641" s="25" t="str">
        <f t="shared" si="22"/>
        <v/>
      </c>
    </row>
    <row r="642" spans="1:18" ht="15.75" x14ac:dyDescent="0.25">
      <c r="A642" s="5"/>
      <c r="B642" s="6"/>
      <c r="C642" s="5"/>
      <c r="D642" s="7"/>
      <c r="E642" s="5"/>
      <c r="F642" s="6"/>
      <c r="Q642" s="66" t="str">
        <f t="shared" si="21"/>
        <v/>
      </c>
      <c r="R642" s="30" t="str">
        <f t="shared" si="22"/>
        <v/>
      </c>
    </row>
    <row r="643" spans="1:18" ht="15.75" x14ac:dyDescent="0.25">
      <c r="A643" s="8"/>
      <c r="B643" s="9"/>
      <c r="C643" s="8"/>
      <c r="D643" s="22"/>
      <c r="E643" s="8"/>
      <c r="F643" s="9"/>
      <c r="Q643" s="48" t="str">
        <f t="shared" ref="Q643:Q706" si="23">IF(A643=$K$2,D643/60*$N$2,IF(A643=$K$3,D643/60*$N$3,IF(A643=$K$4,D643/60*$N$4,IF(A643=$K$5,D643/60*$N$5,IF(A643=$K$6,D643/60*$N$6,IF(A643=$K$7,D643/60*$N$7,IF(A643=$K$8,D643/60*$N$8,"")))))))</f>
        <v/>
      </c>
      <c r="R643" s="25" t="str">
        <f t="shared" ref="R643:R706" si="24">IF(D643="","",D643/$S$2)</f>
        <v/>
      </c>
    </row>
    <row r="644" spans="1:18" ht="15.75" x14ac:dyDescent="0.25">
      <c r="A644" s="5"/>
      <c r="B644" s="6"/>
      <c r="C644" s="5"/>
      <c r="D644" s="7"/>
      <c r="E644" s="5"/>
      <c r="F644" s="6"/>
      <c r="Q644" s="66" t="str">
        <f t="shared" si="23"/>
        <v/>
      </c>
      <c r="R644" s="30" t="str">
        <f t="shared" si="24"/>
        <v/>
      </c>
    </row>
    <row r="645" spans="1:18" ht="15.75" x14ac:dyDescent="0.25">
      <c r="A645" s="8"/>
      <c r="B645" s="9"/>
      <c r="C645" s="8"/>
      <c r="D645" s="22"/>
      <c r="E645" s="8"/>
      <c r="F645" s="9"/>
      <c r="Q645" s="48" t="str">
        <f t="shared" si="23"/>
        <v/>
      </c>
      <c r="R645" s="25" t="str">
        <f t="shared" si="24"/>
        <v/>
      </c>
    </row>
    <row r="646" spans="1:18" ht="15.75" x14ac:dyDescent="0.25">
      <c r="A646" s="5"/>
      <c r="B646" s="6"/>
      <c r="C646" s="5"/>
      <c r="D646" s="7"/>
      <c r="E646" s="5"/>
      <c r="F646" s="6"/>
      <c r="Q646" s="66" t="str">
        <f t="shared" si="23"/>
        <v/>
      </c>
      <c r="R646" s="30" t="str">
        <f t="shared" si="24"/>
        <v/>
      </c>
    </row>
    <row r="647" spans="1:18" ht="15.75" x14ac:dyDescent="0.25">
      <c r="A647" s="8"/>
      <c r="B647" s="9"/>
      <c r="C647" s="8"/>
      <c r="D647" s="22"/>
      <c r="E647" s="8"/>
      <c r="F647" s="9"/>
      <c r="Q647" s="48" t="str">
        <f t="shared" si="23"/>
        <v/>
      </c>
      <c r="R647" s="25" t="str">
        <f t="shared" si="24"/>
        <v/>
      </c>
    </row>
    <row r="648" spans="1:18" ht="15.75" x14ac:dyDescent="0.25">
      <c r="A648" s="5"/>
      <c r="B648" s="6"/>
      <c r="C648" s="5"/>
      <c r="D648" s="7"/>
      <c r="E648" s="5"/>
      <c r="F648" s="6"/>
      <c r="Q648" s="66" t="str">
        <f t="shared" si="23"/>
        <v/>
      </c>
      <c r="R648" s="30" t="str">
        <f t="shared" si="24"/>
        <v/>
      </c>
    </row>
    <row r="649" spans="1:18" ht="15.75" x14ac:dyDescent="0.25">
      <c r="A649" s="8"/>
      <c r="B649" s="9"/>
      <c r="C649" s="8"/>
      <c r="D649" s="22"/>
      <c r="E649" s="8"/>
      <c r="F649" s="9"/>
      <c r="Q649" s="48" t="str">
        <f t="shared" si="23"/>
        <v/>
      </c>
      <c r="R649" s="25" t="str">
        <f t="shared" si="24"/>
        <v/>
      </c>
    </row>
    <row r="650" spans="1:18" ht="15.75" x14ac:dyDescent="0.25">
      <c r="A650" s="5"/>
      <c r="B650" s="6"/>
      <c r="C650" s="5"/>
      <c r="D650" s="7"/>
      <c r="E650" s="5"/>
      <c r="F650" s="6"/>
      <c r="Q650" s="66" t="str">
        <f t="shared" si="23"/>
        <v/>
      </c>
      <c r="R650" s="30" t="str">
        <f t="shared" si="24"/>
        <v/>
      </c>
    </row>
    <row r="651" spans="1:18" ht="15.75" x14ac:dyDescent="0.25">
      <c r="A651" s="8"/>
      <c r="B651" s="9"/>
      <c r="C651" s="8"/>
      <c r="D651" s="22"/>
      <c r="E651" s="8"/>
      <c r="F651" s="9"/>
      <c r="Q651" s="48" t="str">
        <f t="shared" si="23"/>
        <v/>
      </c>
      <c r="R651" s="25" t="str">
        <f t="shared" si="24"/>
        <v/>
      </c>
    </row>
    <row r="652" spans="1:18" ht="15.75" x14ac:dyDescent="0.25">
      <c r="A652" s="5"/>
      <c r="B652" s="6"/>
      <c r="C652" s="5"/>
      <c r="D652" s="7"/>
      <c r="E652" s="5"/>
      <c r="F652" s="6"/>
      <c r="Q652" s="66" t="str">
        <f t="shared" si="23"/>
        <v/>
      </c>
      <c r="R652" s="30" t="str">
        <f t="shared" si="24"/>
        <v/>
      </c>
    </row>
    <row r="653" spans="1:18" ht="15.75" x14ac:dyDescent="0.25">
      <c r="A653" s="8"/>
      <c r="B653" s="9"/>
      <c r="C653" s="8"/>
      <c r="D653" s="22"/>
      <c r="E653" s="8"/>
      <c r="F653" s="9"/>
      <c r="Q653" s="48" t="str">
        <f t="shared" si="23"/>
        <v/>
      </c>
      <c r="R653" s="25" t="str">
        <f t="shared" si="24"/>
        <v/>
      </c>
    </row>
    <row r="654" spans="1:18" ht="15.75" x14ac:dyDescent="0.25">
      <c r="A654" s="5"/>
      <c r="B654" s="6"/>
      <c r="C654" s="5"/>
      <c r="D654" s="7"/>
      <c r="E654" s="5"/>
      <c r="F654" s="6"/>
      <c r="Q654" s="66" t="str">
        <f t="shared" si="23"/>
        <v/>
      </c>
      <c r="R654" s="30" t="str">
        <f t="shared" si="24"/>
        <v/>
      </c>
    </row>
    <row r="655" spans="1:18" ht="15.75" x14ac:dyDescent="0.25">
      <c r="A655" s="8"/>
      <c r="B655" s="9"/>
      <c r="C655" s="8"/>
      <c r="D655" s="22"/>
      <c r="E655" s="8"/>
      <c r="F655" s="9"/>
      <c r="Q655" s="48" t="str">
        <f t="shared" si="23"/>
        <v/>
      </c>
      <c r="R655" s="25" t="str">
        <f t="shared" si="24"/>
        <v/>
      </c>
    </row>
    <row r="656" spans="1:18" ht="15.75" x14ac:dyDescent="0.25">
      <c r="A656" s="5"/>
      <c r="B656" s="6"/>
      <c r="C656" s="5"/>
      <c r="D656" s="7"/>
      <c r="E656" s="5"/>
      <c r="F656" s="6"/>
      <c r="Q656" s="66" t="str">
        <f t="shared" si="23"/>
        <v/>
      </c>
      <c r="R656" s="30" t="str">
        <f t="shared" si="24"/>
        <v/>
      </c>
    </row>
    <row r="657" spans="1:18" ht="15.75" x14ac:dyDescent="0.25">
      <c r="A657" s="8"/>
      <c r="B657" s="9"/>
      <c r="C657" s="8"/>
      <c r="D657" s="22"/>
      <c r="E657" s="8"/>
      <c r="F657" s="9"/>
      <c r="Q657" s="48" t="str">
        <f t="shared" si="23"/>
        <v/>
      </c>
      <c r="R657" s="25" t="str">
        <f t="shared" si="24"/>
        <v/>
      </c>
    </row>
    <row r="658" spans="1:18" ht="15.75" x14ac:dyDescent="0.25">
      <c r="A658" s="5"/>
      <c r="B658" s="6"/>
      <c r="C658" s="5"/>
      <c r="D658" s="7"/>
      <c r="E658" s="5"/>
      <c r="F658" s="6"/>
      <c r="Q658" s="66" t="str">
        <f t="shared" si="23"/>
        <v/>
      </c>
      <c r="R658" s="30" t="str">
        <f t="shared" si="24"/>
        <v/>
      </c>
    </row>
    <row r="659" spans="1:18" ht="15.75" x14ac:dyDescent="0.25">
      <c r="A659" s="8"/>
      <c r="B659" s="9"/>
      <c r="C659" s="8"/>
      <c r="D659" s="22"/>
      <c r="E659" s="8"/>
      <c r="F659" s="9"/>
      <c r="Q659" s="48" t="str">
        <f t="shared" si="23"/>
        <v/>
      </c>
      <c r="R659" s="25" t="str">
        <f t="shared" si="24"/>
        <v/>
      </c>
    </row>
    <row r="660" spans="1:18" ht="15.75" x14ac:dyDescent="0.25">
      <c r="A660" s="5"/>
      <c r="B660" s="6"/>
      <c r="C660" s="5"/>
      <c r="D660" s="7"/>
      <c r="E660" s="5"/>
      <c r="F660" s="6"/>
      <c r="Q660" s="66" t="str">
        <f t="shared" si="23"/>
        <v/>
      </c>
      <c r="R660" s="30" t="str">
        <f t="shared" si="24"/>
        <v/>
      </c>
    </row>
    <row r="661" spans="1:18" ht="15.75" x14ac:dyDescent="0.25">
      <c r="A661" s="8"/>
      <c r="B661" s="9"/>
      <c r="C661" s="8"/>
      <c r="D661" s="22"/>
      <c r="E661" s="8"/>
      <c r="F661" s="9"/>
      <c r="Q661" s="48" t="str">
        <f t="shared" si="23"/>
        <v/>
      </c>
      <c r="R661" s="25" t="str">
        <f t="shared" si="24"/>
        <v/>
      </c>
    </row>
    <row r="662" spans="1:18" ht="15.75" x14ac:dyDescent="0.25">
      <c r="A662" s="5"/>
      <c r="B662" s="6"/>
      <c r="C662" s="5"/>
      <c r="D662" s="7"/>
      <c r="E662" s="5"/>
      <c r="F662" s="6"/>
      <c r="Q662" s="66" t="str">
        <f t="shared" si="23"/>
        <v/>
      </c>
      <c r="R662" s="30" t="str">
        <f t="shared" si="24"/>
        <v/>
      </c>
    </row>
    <row r="663" spans="1:18" ht="15.75" x14ac:dyDescent="0.25">
      <c r="A663" s="8"/>
      <c r="B663" s="9"/>
      <c r="C663" s="8"/>
      <c r="D663" s="22"/>
      <c r="E663" s="8"/>
      <c r="F663" s="9"/>
      <c r="Q663" s="48" t="str">
        <f t="shared" si="23"/>
        <v/>
      </c>
      <c r="R663" s="25" t="str">
        <f t="shared" si="24"/>
        <v/>
      </c>
    </row>
    <row r="664" spans="1:18" ht="15.75" x14ac:dyDescent="0.25">
      <c r="A664" s="5"/>
      <c r="B664" s="6"/>
      <c r="C664" s="5"/>
      <c r="D664" s="7"/>
      <c r="E664" s="5"/>
      <c r="F664" s="6"/>
      <c r="Q664" s="66" t="str">
        <f t="shared" si="23"/>
        <v/>
      </c>
      <c r="R664" s="30" t="str">
        <f t="shared" si="24"/>
        <v/>
      </c>
    </row>
    <row r="665" spans="1:18" ht="15.75" x14ac:dyDescent="0.25">
      <c r="A665" s="8"/>
      <c r="B665" s="9"/>
      <c r="C665" s="8"/>
      <c r="D665" s="22"/>
      <c r="E665" s="8"/>
      <c r="F665" s="9"/>
      <c r="Q665" s="48" t="str">
        <f t="shared" si="23"/>
        <v/>
      </c>
      <c r="R665" s="25" t="str">
        <f t="shared" si="24"/>
        <v/>
      </c>
    </row>
    <row r="666" spans="1:18" ht="15.75" x14ac:dyDescent="0.25">
      <c r="A666" s="5"/>
      <c r="B666" s="6"/>
      <c r="C666" s="5"/>
      <c r="D666" s="7"/>
      <c r="E666" s="5"/>
      <c r="F666" s="6"/>
      <c r="Q666" s="66" t="str">
        <f t="shared" si="23"/>
        <v/>
      </c>
      <c r="R666" s="30" t="str">
        <f t="shared" si="24"/>
        <v/>
      </c>
    </row>
    <row r="667" spans="1:18" ht="15.75" x14ac:dyDescent="0.25">
      <c r="A667" s="8"/>
      <c r="B667" s="9"/>
      <c r="C667" s="8"/>
      <c r="D667" s="22"/>
      <c r="E667" s="8"/>
      <c r="F667" s="9"/>
      <c r="Q667" s="48" t="str">
        <f t="shared" si="23"/>
        <v/>
      </c>
      <c r="R667" s="25" t="str">
        <f t="shared" si="24"/>
        <v/>
      </c>
    </row>
    <row r="668" spans="1:18" ht="15.75" x14ac:dyDescent="0.25">
      <c r="A668" s="5"/>
      <c r="B668" s="6"/>
      <c r="C668" s="5"/>
      <c r="D668" s="7"/>
      <c r="E668" s="5"/>
      <c r="F668" s="6"/>
      <c r="Q668" s="66" t="str">
        <f t="shared" si="23"/>
        <v/>
      </c>
      <c r="R668" s="30" t="str">
        <f t="shared" si="24"/>
        <v/>
      </c>
    </row>
    <row r="669" spans="1:18" ht="15.75" x14ac:dyDescent="0.25">
      <c r="A669" s="8"/>
      <c r="B669" s="9"/>
      <c r="C669" s="8"/>
      <c r="D669" s="22"/>
      <c r="E669" s="8"/>
      <c r="F669" s="9"/>
      <c r="Q669" s="48" t="str">
        <f t="shared" si="23"/>
        <v/>
      </c>
      <c r="R669" s="25" t="str">
        <f t="shared" si="24"/>
        <v/>
      </c>
    </row>
    <row r="670" spans="1:18" ht="15.75" x14ac:dyDescent="0.25">
      <c r="A670" s="5"/>
      <c r="B670" s="6"/>
      <c r="C670" s="5"/>
      <c r="D670" s="7"/>
      <c r="E670" s="5"/>
      <c r="F670" s="6"/>
      <c r="Q670" s="66" t="str">
        <f t="shared" si="23"/>
        <v/>
      </c>
      <c r="R670" s="30" t="str">
        <f t="shared" si="24"/>
        <v/>
      </c>
    </row>
    <row r="671" spans="1:18" ht="15.75" x14ac:dyDescent="0.25">
      <c r="A671" s="8"/>
      <c r="B671" s="9"/>
      <c r="C671" s="8"/>
      <c r="D671" s="22"/>
      <c r="E671" s="8"/>
      <c r="F671" s="9"/>
      <c r="Q671" s="48" t="str">
        <f t="shared" si="23"/>
        <v/>
      </c>
      <c r="R671" s="25" t="str">
        <f t="shared" si="24"/>
        <v/>
      </c>
    </row>
    <row r="672" spans="1:18" ht="15.75" x14ac:dyDescent="0.25">
      <c r="A672" s="5"/>
      <c r="B672" s="6"/>
      <c r="C672" s="5"/>
      <c r="D672" s="7"/>
      <c r="E672" s="5"/>
      <c r="F672" s="6"/>
      <c r="Q672" s="66" t="str">
        <f t="shared" si="23"/>
        <v/>
      </c>
      <c r="R672" s="30" t="str">
        <f t="shared" si="24"/>
        <v/>
      </c>
    </row>
    <row r="673" spans="1:18" ht="15.75" x14ac:dyDescent="0.25">
      <c r="A673" s="8"/>
      <c r="B673" s="9"/>
      <c r="C673" s="8"/>
      <c r="D673" s="22"/>
      <c r="E673" s="8"/>
      <c r="F673" s="9"/>
      <c r="Q673" s="48" t="str">
        <f t="shared" si="23"/>
        <v/>
      </c>
      <c r="R673" s="25" t="str">
        <f t="shared" si="24"/>
        <v/>
      </c>
    </row>
    <row r="674" spans="1:18" ht="15.75" x14ac:dyDescent="0.25">
      <c r="A674" s="5"/>
      <c r="B674" s="6"/>
      <c r="C674" s="5"/>
      <c r="D674" s="7"/>
      <c r="E674" s="5"/>
      <c r="F674" s="6"/>
      <c r="Q674" s="66" t="str">
        <f t="shared" si="23"/>
        <v/>
      </c>
      <c r="R674" s="30" t="str">
        <f t="shared" si="24"/>
        <v/>
      </c>
    </row>
    <row r="675" spans="1:18" ht="15.75" x14ac:dyDescent="0.25">
      <c r="A675" s="8"/>
      <c r="B675" s="9"/>
      <c r="C675" s="8"/>
      <c r="D675" s="22"/>
      <c r="E675" s="8"/>
      <c r="F675" s="9"/>
      <c r="Q675" s="48" t="str">
        <f t="shared" si="23"/>
        <v/>
      </c>
      <c r="R675" s="25" t="str">
        <f t="shared" si="24"/>
        <v/>
      </c>
    </row>
    <row r="676" spans="1:18" ht="15.75" x14ac:dyDescent="0.25">
      <c r="A676" s="5"/>
      <c r="B676" s="6"/>
      <c r="C676" s="5"/>
      <c r="D676" s="7"/>
      <c r="E676" s="5"/>
      <c r="F676" s="6"/>
      <c r="Q676" s="66" t="str">
        <f t="shared" si="23"/>
        <v/>
      </c>
      <c r="R676" s="30" t="str">
        <f t="shared" si="24"/>
        <v/>
      </c>
    </row>
    <row r="677" spans="1:18" ht="15.75" x14ac:dyDescent="0.25">
      <c r="A677" s="8"/>
      <c r="B677" s="9"/>
      <c r="C677" s="8"/>
      <c r="D677" s="22"/>
      <c r="E677" s="8"/>
      <c r="F677" s="9"/>
      <c r="Q677" s="48" t="str">
        <f t="shared" si="23"/>
        <v/>
      </c>
      <c r="R677" s="25" t="str">
        <f t="shared" si="24"/>
        <v/>
      </c>
    </row>
    <row r="678" spans="1:18" ht="15.75" x14ac:dyDescent="0.25">
      <c r="A678" s="5"/>
      <c r="B678" s="6"/>
      <c r="C678" s="5"/>
      <c r="D678" s="7"/>
      <c r="E678" s="5"/>
      <c r="F678" s="6"/>
      <c r="Q678" s="66" t="str">
        <f t="shared" si="23"/>
        <v/>
      </c>
      <c r="R678" s="30" t="str">
        <f t="shared" si="24"/>
        <v/>
      </c>
    </row>
    <row r="679" spans="1:18" ht="15.75" x14ac:dyDescent="0.25">
      <c r="A679" s="8"/>
      <c r="B679" s="9"/>
      <c r="C679" s="8"/>
      <c r="D679" s="22"/>
      <c r="E679" s="8"/>
      <c r="F679" s="9"/>
      <c r="Q679" s="48" t="str">
        <f t="shared" si="23"/>
        <v/>
      </c>
      <c r="R679" s="25" t="str">
        <f t="shared" si="24"/>
        <v/>
      </c>
    </row>
    <row r="680" spans="1:18" ht="15.75" x14ac:dyDescent="0.25">
      <c r="A680" s="5"/>
      <c r="B680" s="6"/>
      <c r="C680" s="5"/>
      <c r="D680" s="7"/>
      <c r="E680" s="5"/>
      <c r="F680" s="6"/>
      <c r="Q680" s="66" t="str">
        <f t="shared" si="23"/>
        <v/>
      </c>
      <c r="R680" s="30" t="str">
        <f t="shared" si="24"/>
        <v/>
      </c>
    </row>
    <row r="681" spans="1:18" ht="15.75" x14ac:dyDescent="0.25">
      <c r="A681" s="8"/>
      <c r="B681" s="9"/>
      <c r="C681" s="8"/>
      <c r="D681" s="22"/>
      <c r="E681" s="8"/>
      <c r="F681" s="9"/>
      <c r="Q681" s="48" t="str">
        <f t="shared" si="23"/>
        <v/>
      </c>
      <c r="R681" s="25" t="str">
        <f t="shared" si="24"/>
        <v/>
      </c>
    </row>
    <row r="682" spans="1:18" ht="15.75" x14ac:dyDescent="0.25">
      <c r="A682" s="5"/>
      <c r="B682" s="6"/>
      <c r="C682" s="5"/>
      <c r="D682" s="7"/>
      <c r="E682" s="5"/>
      <c r="F682" s="6"/>
      <c r="Q682" s="66" t="str">
        <f t="shared" si="23"/>
        <v/>
      </c>
      <c r="R682" s="30" t="str">
        <f t="shared" si="24"/>
        <v/>
      </c>
    </row>
    <row r="683" spans="1:18" ht="15.75" x14ac:dyDescent="0.25">
      <c r="A683" s="8"/>
      <c r="B683" s="9"/>
      <c r="C683" s="8"/>
      <c r="D683" s="22"/>
      <c r="E683" s="8"/>
      <c r="F683" s="9"/>
      <c r="Q683" s="48" t="str">
        <f t="shared" si="23"/>
        <v/>
      </c>
      <c r="R683" s="25" t="str">
        <f t="shared" si="24"/>
        <v/>
      </c>
    </row>
    <row r="684" spans="1:18" ht="15.75" x14ac:dyDescent="0.25">
      <c r="A684" s="5"/>
      <c r="B684" s="6"/>
      <c r="C684" s="5"/>
      <c r="D684" s="7"/>
      <c r="E684" s="5"/>
      <c r="F684" s="6"/>
      <c r="Q684" s="66" t="str">
        <f t="shared" si="23"/>
        <v/>
      </c>
      <c r="R684" s="30" t="str">
        <f t="shared" si="24"/>
        <v/>
      </c>
    </row>
    <row r="685" spans="1:18" ht="15.75" x14ac:dyDescent="0.25">
      <c r="A685" s="8"/>
      <c r="B685" s="9"/>
      <c r="C685" s="8"/>
      <c r="D685" s="22"/>
      <c r="E685" s="8"/>
      <c r="F685" s="9"/>
      <c r="Q685" s="48" t="str">
        <f t="shared" si="23"/>
        <v/>
      </c>
      <c r="R685" s="25" t="str">
        <f t="shared" si="24"/>
        <v/>
      </c>
    </row>
    <row r="686" spans="1:18" ht="15.75" x14ac:dyDescent="0.25">
      <c r="A686" s="5"/>
      <c r="B686" s="6"/>
      <c r="C686" s="5"/>
      <c r="D686" s="7"/>
      <c r="E686" s="5"/>
      <c r="F686" s="6"/>
      <c r="Q686" s="66" t="str">
        <f t="shared" si="23"/>
        <v/>
      </c>
      <c r="R686" s="30" t="str">
        <f t="shared" si="24"/>
        <v/>
      </c>
    </row>
    <row r="687" spans="1:18" ht="15.75" x14ac:dyDescent="0.25">
      <c r="A687" s="8"/>
      <c r="B687" s="9"/>
      <c r="C687" s="8"/>
      <c r="D687" s="22"/>
      <c r="E687" s="8"/>
      <c r="F687" s="9"/>
      <c r="Q687" s="48" t="str">
        <f t="shared" si="23"/>
        <v/>
      </c>
      <c r="R687" s="25" t="str">
        <f t="shared" si="24"/>
        <v/>
      </c>
    </row>
    <row r="688" spans="1:18" ht="15.75" x14ac:dyDescent="0.25">
      <c r="A688" s="5"/>
      <c r="B688" s="6"/>
      <c r="C688" s="5"/>
      <c r="D688" s="7"/>
      <c r="E688" s="5"/>
      <c r="F688" s="6"/>
      <c r="Q688" s="66" t="str">
        <f t="shared" si="23"/>
        <v/>
      </c>
      <c r="R688" s="30" t="str">
        <f t="shared" si="24"/>
        <v/>
      </c>
    </row>
    <row r="689" spans="1:18" ht="15.75" x14ac:dyDescent="0.25">
      <c r="A689" s="8"/>
      <c r="B689" s="9"/>
      <c r="C689" s="8"/>
      <c r="D689" s="22"/>
      <c r="E689" s="8"/>
      <c r="F689" s="9"/>
      <c r="Q689" s="48" t="str">
        <f t="shared" si="23"/>
        <v/>
      </c>
      <c r="R689" s="25" t="str">
        <f t="shared" si="24"/>
        <v/>
      </c>
    </row>
    <row r="690" spans="1:18" ht="15.75" x14ac:dyDescent="0.25">
      <c r="A690" s="5"/>
      <c r="B690" s="6"/>
      <c r="C690" s="5"/>
      <c r="D690" s="7"/>
      <c r="E690" s="5"/>
      <c r="F690" s="6"/>
      <c r="Q690" s="66" t="str">
        <f t="shared" si="23"/>
        <v/>
      </c>
      <c r="R690" s="30" t="str">
        <f t="shared" si="24"/>
        <v/>
      </c>
    </row>
    <row r="691" spans="1:18" ht="15.75" x14ac:dyDescent="0.25">
      <c r="A691" s="8"/>
      <c r="B691" s="9"/>
      <c r="C691" s="8"/>
      <c r="D691" s="22"/>
      <c r="E691" s="8"/>
      <c r="F691" s="9"/>
      <c r="Q691" s="48" t="str">
        <f t="shared" si="23"/>
        <v/>
      </c>
      <c r="R691" s="25" t="str">
        <f t="shared" si="24"/>
        <v/>
      </c>
    </row>
    <row r="692" spans="1:18" ht="15.75" x14ac:dyDescent="0.25">
      <c r="A692" s="5"/>
      <c r="B692" s="6"/>
      <c r="C692" s="5"/>
      <c r="D692" s="7"/>
      <c r="E692" s="5"/>
      <c r="F692" s="6"/>
      <c r="Q692" s="66" t="str">
        <f t="shared" si="23"/>
        <v/>
      </c>
      <c r="R692" s="30" t="str">
        <f t="shared" si="24"/>
        <v/>
      </c>
    </row>
    <row r="693" spans="1:18" ht="15.75" x14ac:dyDescent="0.25">
      <c r="A693" s="8"/>
      <c r="B693" s="9"/>
      <c r="C693" s="8"/>
      <c r="D693" s="22"/>
      <c r="E693" s="8"/>
      <c r="F693" s="9"/>
      <c r="Q693" s="48" t="str">
        <f t="shared" si="23"/>
        <v/>
      </c>
      <c r="R693" s="25" t="str">
        <f t="shared" si="24"/>
        <v/>
      </c>
    </row>
    <row r="694" spans="1:18" ht="15.75" x14ac:dyDescent="0.25">
      <c r="A694" s="5"/>
      <c r="B694" s="6"/>
      <c r="C694" s="5"/>
      <c r="D694" s="7"/>
      <c r="E694" s="5"/>
      <c r="F694" s="6"/>
      <c r="Q694" s="66" t="str">
        <f t="shared" si="23"/>
        <v/>
      </c>
      <c r="R694" s="30" t="str">
        <f t="shared" si="24"/>
        <v/>
      </c>
    </row>
    <row r="695" spans="1:18" ht="15.75" x14ac:dyDescent="0.25">
      <c r="A695" s="8"/>
      <c r="B695" s="9"/>
      <c r="C695" s="8"/>
      <c r="D695" s="22"/>
      <c r="E695" s="8"/>
      <c r="F695" s="9"/>
      <c r="Q695" s="48" t="str">
        <f t="shared" si="23"/>
        <v/>
      </c>
      <c r="R695" s="25" t="str">
        <f t="shared" si="24"/>
        <v/>
      </c>
    </row>
    <row r="696" spans="1:18" ht="15.75" x14ac:dyDescent="0.25">
      <c r="A696" s="5"/>
      <c r="B696" s="6"/>
      <c r="C696" s="5"/>
      <c r="D696" s="7"/>
      <c r="E696" s="5"/>
      <c r="F696" s="6"/>
      <c r="Q696" s="66" t="str">
        <f t="shared" si="23"/>
        <v/>
      </c>
      <c r="R696" s="30" t="str">
        <f t="shared" si="24"/>
        <v/>
      </c>
    </row>
    <row r="697" spans="1:18" ht="15.75" x14ac:dyDescent="0.25">
      <c r="A697" s="8"/>
      <c r="B697" s="9"/>
      <c r="C697" s="8"/>
      <c r="D697" s="22"/>
      <c r="E697" s="8"/>
      <c r="F697" s="9"/>
      <c r="Q697" s="48" t="str">
        <f t="shared" si="23"/>
        <v/>
      </c>
      <c r="R697" s="25" t="str">
        <f t="shared" si="24"/>
        <v/>
      </c>
    </row>
    <row r="698" spans="1:18" ht="15.75" x14ac:dyDescent="0.25">
      <c r="A698" s="5"/>
      <c r="B698" s="6"/>
      <c r="C698" s="5"/>
      <c r="D698" s="7"/>
      <c r="E698" s="5"/>
      <c r="F698" s="6"/>
      <c r="Q698" s="66" t="str">
        <f t="shared" si="23"/>
        <v/>
      </c>
      <c r="R698" s="30" t="str">
        <f t="shared" si="24"/>
        <v/>
      </c>
    </row>
    <row r="699" spans="1:18" ht="15.75" x14ac:dyDescent="0.25">
      <c r="A699" s="8"/>
      <c r="B699" s="9"/>
      <c r="C699" s="8"/>
      <c r="D699" s="22"/>
      <c r="E699" s="8"/>
      <c r="F699" s="9"/>
      <c r="Q699" s="48" t="str">
        <f t="shared" si="23"/>
        <v/>
      </c>
      <c r="R699" s="25" t="str">
        <f t="shared" si="24"/>
        <v/>
      </c>
    </row>
    <row r="700" spans="1:18" ht="15.75" x14ac:dyDescent="0.25">
      <c r="A700" s="5"/>
      <c r="B700" s="6"/>
      <c r="C700" s="5"/>
      <c r="D700" s="7"/>
      <c r="E700" s="5"/>
      <c r="F700" s="6"/>
      <c r="Q700" s="66" t="str">
        <f t="shared" si="23"/>
        <v/>
      </c>
      <c r="R700" s="30" t="str">
        <f t="shared" si="24"/>
        <v/>
      </c>
    </row>
    <row r="701" spans="1:18" ht="15.75" x14ac:dyDescent="0.25">
      <c r="A701" s="8"/>
      <c r="B701" s="9"/>
      <c r="C701" s="8"/>
      <c r="D701" s="22"/>
      <c r="E701" s="8"/>
      <c r="F701" s="9"/>
      <c r="Q701" s="48" t="str">
        <f t="shared" si="23"/>
        <v/>
      </c>
      <c r="R701" s="25" t="str">
        <f t="shared" si="24"/>
        <v/>
      </c>
    </row>
    <row r="702" spans="1:18" ht="15.75" x14ac:dyDescent="0.25">
      <c r="A702" s="5"/>
      <c r="B702" s="6"/>
      <c r="C702" s="5"/>
      <c r="D702" s="7"/>
      <c r="E702" s="5"/>
      <c r="F702" s="6"/>
      <c r="Q702" s="66" t="str">
        <f t="shared" si="23"/>
        <v/>
      </c>
      <c r="R702" s="30" t="str">
        <f t="shared" si="24"/>
        <v/>
      </c>
    </row>
    <row r="703" spans="1:18" ht="15.75" x14ac:dyDescent="0.25">
      <c r="A703" s="8"/>
      <c r="B703" s="9"/>
      <c r="C703" s="8"/>
      <c r="D703" s="22"/>
      <c r="E703" s="8"/>
      <c r="F703" s="9"/>
      <c r="Q703" s="48" t="str">
        <f t="shared" si="23"/>
        <v/>
      </c>
      <c r="R703" s="25" t="str">
        <f t="shared" si="24"/>
        <v/>
      </c>
    </row>
    <row r="704" spans="1:18" ht="15.75" x14ac:dyDescent="0.25">
      <c r="A704" s="5"/>
      <c r="B704" s="6"/>
      <c r="C704" s="5"/>
      <c r="D704" s="7"/>
      <c r="E704" s="5"/>
      <c r="F704" s="6"/>
      <c r="Q704" s="66" t="str">
        <f t="shared" si="23"/>
        <v/>
      </c>
      <c r="R704" s="30" t="str">
        <f t="shared" si="24"/>
        <v/>
      </c>
    </row>
    <row r="705" spans="1:18" ht="15.75" x14ac:dyDescent="0.25">
      <c r="A705" s="8"/>
      <c r="B705" s="9"/>
      <c r="C705" s="8"/>
      <c r="D705" s="22"/>
      <c r="E705" s="8"/>
      <c r="F705" s="9"/>
      <c r="Q705" s="48" t="str">
        <f t="shared" si="23"/>
        <v/>
      </c>
      <c r="R705" s="25" t="str">
        <f t="shared" si="24"/>
        <v/>
      </c>
    </row>
    <row r="706" spans="1:18" ht="15.75" x14ac:dyDescent="0.25">
      <c r="A706" s="5"/>
      <c r="B706" s="6"/>
      <c r="C706" s="5"/>
      <c r="D706" s="7"/>
      <c r="E706" s="5"/>
      <c r="F706" s="6"/>
      <c r="Q706" s="66" t="str">
        <f t="shared" si="23"/>
        <v/>
      </c>
      <c r="R706" s="30" t="str">
        <f t="shared" si="24"/>
        <v/>
      </c>
    </row>
    <row r="707" spans="1:18" ht="15.75" x14ac:dyDescent="0.25">
      <c r="A707" s="8"/>
      <c r="B707" s="9"/>
      <c r="C707" s="8"/>
      <c r="D707" s="22"/>
      <c r="E707" s="8"/>
      <c r="F707" s="9"/>
      <c r="Q707" s="48" t="str">
        <f t="shared" ref="Q707:Q770" si="25">IF(A707=$K$2,D707/60*$N$2,IF(A707=$K$3,D707/60*$N$3,IF(A707=$K$4,D707/60*$N$4,IF(A707=$K$5,D707/60*$N$5,IF(A707=$K$6,D707/60*$N$6,IF(A707=$K$7,D707/60*$N$7,IF(A707=$K$8,D707/60*$N$8,"")))))))</f>
        <v/>
      </c>
      <c r="R707" s="25" t="str">
        <f t="shared" ref="R707:R770" si="26">IF(D707="","",D707/$S$2)</f>
        <v/>
      </c>
    </row>
    <row r="708" spans="1:18" ht="15.75" x14ac:dyDescent="0.25">
      <c r="A708" s="5"/>
      <c r="B708" s="6"/>
      <c r="C708" s="5"/>
      <c r="D708" s="7"/>
      <c r="E708" s="5"/>
      <c r="F708" s="6"/>
      <c r="Q708" s="66" t="str">
        <f t="shared" si="25"/>
        <v/>
      </c>
      <c r="R708" s="30" t="str">
        <f t="shared" si="26"/>
        <v/>
      </c>
    </row>
    <row r="709" spans="1:18" ht="15.75" x14ac:dyDescent="0.25">
      <c r="A709" s="8"/>
      <c r="B709" s="9"/>
      <c r="C709" s="8"/>
      <c r="D709" s="22"/>
      <c r="E709" s="8"/>
      <c r="F709" s="9"/>
      <c r="Q709" s="48" t="str">
        <f t="shared" si="25"/>
        <v/>
      </c>
      <c r="R709" s="25" t="str">
        <f t="shared" si="26"/>
        <v/>
      </c>
    </row>
    <row r="710" spans="1:18" ht="15.75" x14ac:dyDescent="0.25">
      <c r="A710" s="5"/>
      <c r="B710" s="6"/>
      <c r="C710" s="5"/>
      <c r="D710" s="7"/>
      <c r="E710" s="5"/>
      <c r="F710" s="6"/>
      <c r="Q710" s="66" t="str">
        <f t="shared" si="25"/>
        <v/>
      </c>
      <c r="R710" s="30" t="str">
        <f t="shared" si="26"/>
        <v/>
      </c>
    </row>
    <row r="711" spans="1:18" ht="15.75" x14ac:dyDescent="0.25">
      <c r="A711" s="8"/>
      <c r="B711" s="9"/>
      <c r="C711" s="8"/>
      <c r="D711" s="22"/>
      <c r="E711" s="8"/>
      <c r="F711" s="9"/>
      <c r="Q711" s="48" t="str">
        <f t="shared" si="25"/>
        <v/>
      </c>
      <c r="R711" s="25" t="str">
        <f t="shared" si="26"/>
        <v/>
      </c>
    </row>
    <row r="712" spans="1:18" ht="15.75" x14ac:dyDescent="0.25">
      <c r="A712" s="5"/>
      <c r="B712" s="6"/>
      <c r="C712" s="5"/>
      <c r="D712" s="7"/>
      <c r="E712" s="5"/>
      <c r="F712" s="6"/>
      <c r="Q712" s="66" t="str">
        <f t="shared" si="25"/>
        <v/>
      </c>
      <c r="R712" s="30" t="str">
        <f t="shared" si="26"/>
        <v/>
      </c>
    </row>
    <row r="713" spans="1:18" ht="15.75" x14ac:dyDescent="0.25">
      <c r="A713" s="8"/>
      <c r="B713" s="9"/>
      <c r="C713" s="8"/>
      <c r="D713" s="22"/>
      <c r="E713" s="8"/>
      <c r="F713" s="9"/>
      <c r="Q713" s="48" t="str">
        <f t="shared" si="25"/>
        <v/>
      </c>
      <c r="R713" s="25" t="str">
        <f t="shared" si="26"/>
        <v/>
      </c>
    </row>
    <row r="714" spans="1:18" ht="15.75" x14ac:dyDescent="0.25">
      <c r="A714" s="5"/>
      <c r="B714" s="6"/>
      <c r="C714" s="5"/>
      <c r="D714" s="7"/>
      <c r="E714" s="5"/>
      <c r="F714" s="6"/>
      <c r="Q714" s="66" t="str">
        <f t="shared" si="25"/>
        <v/>
      </c>
      <c r="R714" s="30" t="str">
        <f t="shared" si="26"/>
        <v/>
      </c>
    </row>
    <row r="715" spans="1:18" ht="15.75" x14ac:dyDescent="0.25">
      <c r="A715" s="8"/>
      <c r="B715" s="9"/>
      <c r="C715" s="8"/>
      <c r="D715" s="22"/>
      <c r="E715" s="8"/>
      <c r="F715" s="9"/>
      <c r="Q715" s="48" t="str">
        <f t="shared" si="25"/>
        <v/>
      </c>
      <c r="R715" s="25" t="str">
        <f t="shared" si="26"/>
        <v/>
      </c>
    </row>
    <row r="716" spans="1:18" ht="15.75" x14ac:dyDescent="0.25">
      <c r="A716" s="5"/>
      <c r="B716" s="6"/>
      <c r="C716" s="5"/>
      <c r="D716" s="7"/>
      <c r="E716" s="5"/>
      <c r="F716" s="6"/>
      <c r="Q716" s="66" t="str">
        <f t="shared" si="25"/>
        <v/>
      </c>
      <c r="R716" s="30" t="str">
        <f t="shared" si="26"/>
        <v/>
      </c>
    </row>
    <row r="717" spans="1:18" ht="15.75" x14ac:dyDescent="0.25">
      <c r="A717" s="8"/>
      <c r="B717" s="9"/>
      <c r="C717" s="8"/>
      <c r="D717" s="22"/>
      <c r="E717" s="8"/>
      <c r="F717" s="9"/>
      <c r="Q717" s="48" t="str">
        <f t="shared" si="25"/>
        <v/>
      </c>
      <c r="R717" s="25" t="str">
        <f t="shared" si="26"/>
        <v/>
      </c>
    </row>
    <row r="718" spans="1:18" ht="15.75" x14ac:dyDescent="0.25">
      <c r="A718" s="5"/>
      <c r="B718" s="6"/>
      <c r="C718" s="5"/>
      <c r="D718" s="7"/>
      <c r="E718" s="5"/>
      <c r="F718" s="6"/>
      <c r="Q718" s="66" t="str">
        <f t="shared" si="25"/>
        <v/>
      </c>
      <c r="R718" s="30" t="str">
        <f t="shared" si="26"/>
        <v/>
      </c>
    </row>
    <row r="719" spans="1:18" ht="15.75" x14ac:dyDescent="0.25">
      <c r="A719" s="8"/>
      <c r="B719" s="9"/>
      <c r="C719" s="8"/>
      <c r="D719" s="22"/>
      <c r="E719" s="8"/>
      <c r="F719" s="9"/>
      <c r="Q719" s="48" t="str">
        <f t="shared" si="25"/>
        <v/>
      </c>
      <c r="R719" s="25" t="str">
        <f t="shared" si="26"/>
        <v/>
      </c>
    </row>
    <row r="720" spans="1:18" ht="15.75" x14ac:dyDescent="0.25">
      <c r="A720" s="5"/>
      <c r="B720" s="6"/>
      <c r="C720" s="5"/>
      <c r="D720" s="7"/>
      <c r="E720" s="5"/>
      <c r="F720" s="6"/>
      <c r="Q720" s="66" t="str">
        <f t="shared" si="25"/>
        <v/>
      </c>
      <c r="R720" s="30" t="str">
        <f t="shared" si="26"/>
        <v/>
      </c>
    </row>
    <row r="721" spans="1:18" ht="15.75" x14ac:dyDescent="0.25">
      <c r="A721" s="8"/>
      <c r="B721" s="9"/>
      <c r="C721" s="8"/>
      <c r="D721" s="22"/>
      <c r="E721" s="8"/>
      <c r="F721" s="9"/>
      <c r="Q721" s="48" t="str">
        <f t="shared" si="25"/>
        <v/>
      </c>
      <c r="R721" s="25" t="str">
        <f t="shared" si="26"/>
        <v/>
      </c>
    </row>
    <row r="722" spans="1:18" ht="15.75" x14ac:dyDescent="0.25">
      <c r="A722" s="5"/>
      <c r="B722" s="6"/>
      <c r="C722" s="5"/>
      <c r="D722" s="7"/>
      <c r="E722" s="5"/>
      <c r="F722" s="6"/>
      <c r="Q722" s="66" t="str">
        <f t="shared" si="25"/>
        <v/>
      </c>
      <c r="R722" s="30" t="str">
        <f t="shared" si="26"/>
        <v/>
      </c>
    </row>
    <row r="723" spans="1:18" ht="15.75" x14ac:dyDescent="0.25">
      <c r="A723" s="8"/>
      <c r="B723" s="9"/>
      <c r="C723" s="8"/>
      <c r="D723" s="22"/>
      <c r="E723" s="8"/>
      <c r="F723" s="9"/>
      <c r="Q723" s="48" t="str">
        <f t="shared" si="25"/>
        <v/>
      </c>
      <c r="R723" s="25" t="str">
        <f t="shared" si="26"/>
        <v/>
      </c>
    </row>
    <row r="724" spans="1:18" ht="15.75" x14ac:dyDescent="0.25">
      <c r="A724" s="5"/>
      <c r="B724" s="6"/>
      <c r="C724" s="5"/>
      <c r="D724" s="7"/>
      <c r="E724" s="5"/>
      <c r="F724" s="6"/>
      <c r="Q724" s="66" t="str">
        <f t="shared" si="25"/>
        <v/>
      </c>
      <c r="R724" s="30" t="str">
        <f t="shared" si="26"/>
        <v/>
      </c>
    </row>
    <row r="725" spans="1:18" ht="15.75" x14ac:dyDescent="0.25">
      <c r="A725" s="8"/>
      <c r="B725" s="9"/>
      <c r="C725" s="8"/>
      <c r="D725" s="22"/>
      <c r="E725" s="8"/>
      <c r="F725" s="9"/>
      <c r="Q725" s="48" t="str">
        <f t="shared" si="25"/>
        <v/>
      </c>
      <c r="R725" s="25" t="str">
        <f t="shared" si="26"/>
        <v/>
      </c>
    </row>
    <row r="726" spans="1:18" ht="15.75" x14ac:dyDescent="0.25">
      <c r="A726" s="5"/>
      <c r="B726" s="6"/>
      <c r="C726" s="5"/>
      <c r="D726" s="7"/>
      <c r="E726" s="5"/>
      <c r="F726" s="6"/>
      <c r="Q726" s="66" t="str">
        <f t="shared" si="25"/>
        <v/>
      </c>
      <c r="R726" s="30" t="str">
        <f t="shared" si="26"/>
        <v/>
      </c>
    </row>
    <row r="727" spans="1:18" ht="15.75" x14ac:dyDescent="0.25">
      <c r="A727" s="8"/>
      <c r="B727" s="9"/>
      <c r="C727" s="8"/>
      <c r="D727" s="22"/>
      <c r="E727" s="8"/>
      <c r="F727" s="9"/>
      <c r="Q727" s="48" t="str">
        <f t="shared" si="25"/>
        <v/>
      </c>
      <c r="R727" s="25" t="str">
        <f t="shared" si="26"/>
        <v/>
      </c>
    </row>
    <row r="728" spans="1:18" ht="15.75" x14ac:dyDescent="0.25">
      <c r="A728" s="5"/>
      <c r="B728" s="6"/>
      <c r="C728" s="5"/>
      <c r="D728" s="7"/>
      <c r="E728" s="5"/>
      <c r="F728" s="6"/>
      <c r="Q728" s="66" t="str">
        <f t="shared" si="25"/>
        <v/>
      </c>
      <c r="R728" s="30" t="str">
        <f t="shared" si="26"/>
        <v/>
      </c>
    </row>
    <row r="729" spans="1:18" ht="15.75" x14ac:dyDescent="0.25">
      <c r="A729" s="8"/>
      <c r="B729" s="9"/>
      <c r="C729" s="8"/>
      <c r="D729" s="22"/>
      <c r="E729" s="8"/>
      <c r="F729" s="9"/>
      <c r="Q729" s="48" t="str">
        <f t="shared" si="25"/>
        <v/>
      </c>
      <c r="R729" s="25" t="str">
        <f t="shared" si="26"/>
        <v/>
      </c>
    </row>
    <row r="730" spans="1:18" ht="15.75" x14ac:dyDescent="0.25">
      <c r="A730" s="5"/>
      <c r="B730" s="6"/>
      <c r="C730" s="5"/>
      <c r="D730" s="7"/>
      <c r="E730" s="5"/>
      <c r="F730" s="6"/>
      <c r="Q730" s="66" t="str">
        <f t="shared" si="25"/>
        <v/>
      </c>
      <c r="R730" s="30" t="str">
        <f t="shared" si="26"/>
        <v/>
      </c>
    </row>
    <row r="731" spans="1:18" ht="15.75" x14ac:dyDescent="0.25">
      <c r="A731" s="8"/>
      <c r="B731" s="9"/>
      <c r="C731" s="8"/>
      <c r="D731" s="22"/>
      <c r="E731" s="8"/>
      <c r="F731" s="9"/>
      <c r="Q731" s="48" t="str">
        <f t="shared" si="25"/>
        <v/>
      </c>
      <c r="R731" s="25" t="str">
        <f t="shared" si="26"/>
        <v/>
      </c>
    </row>
    <row r="732" spans="1:18" ht="15.75" x14ac:dyDescent="0.25">
      <c r="A732" s="5"/>
      <c r="B732" s="6"/>
      <c r="C732" s="5"/>
      <c r="D732" s="7"/>
      <c r="E732" s="5"/>
      <c r="F732" s="6"/>
      <c r="Q732" s="66" t="str">
        <f t="shared" si="25"/>
        <v/>
      </c>
      <c r="R732" s="30" t="str">
        <f t="shared" si="26"/>
        <v/>
      </c>
    </row>
    <row r="733" spans="1:18" ht="15.75" x14ac:dyDescent="0.25">
      <c r="A733" s="8"/>
      <c r="B733" s="9"/>
      <c r="C733" s="8"/>
      <c r="D733" s="22"/>
      <c r="E733" s="8"/>
      <c r="F733" s="9"/>
      <c r="Q733" s="48" t="str">
        <f t="shared" si="25"/>
        <v/>
      </c>
      <c r="R733" s="25" t="str">
        <f t="shared" si="26"/>
        <v/>
      </c>
    </row>
    <row r="734" spans="1:18" ht="15.75" x14ac:dyDescent="0.25">
      <c r="A734" s="5"/>
      <c r="B734" s="6"/>
      <c r="C734" s="5"/>
      <c r="D734" s="7"/>
      <c r="E734" s="5"/>
      <c r="F734" s="6"/>
      <c r="Q734" s="66" t="str">
        <f t="shared" si="25"/>
        <v/>
      </c>
      <c r="R734" s="30" t="str">
        <f t="shared" si="26"/>
        <v/>
      </c>
    </row>
    <row r="735" spans="1:18" ht="15.75" x14ac:dyDescent="0.25">
      <c r="A735" s="8"/>
      <c r="B735" s="9"/>
      <c r="C735" s="8"/>
      <c r="D735" s="22"/>
      <c r="E735" s="8"/>
      <c r="F735" s="9"/>
      <c r="Q735" s="48" t="str">
        <f t="shared" si="25"/>
        <v/>
      </c>
      <c r="R735" s="25" t="str">
        <f t="shared" si="26"/>
        <v/>
      </c>
    </row>
    <row r="736" spans="1:18" ht="15.75" x14ac:dyDescent="0.25">
      <c r="A736" s="5"/>
      <c r="B736" s="6"/>
      <c r="C736" s="5"/>
      <c r="D736" s="7"/>
      <c r="E736" s="5"/>
      <c r="F736" s="6"/>
      <c r="Q736" s="66" t="str">
        <f t="shared" si="25"/>
        <v/>
      </c>
      <c r="R736" s="30" t="str">
        <f t="shared" si="26"/>
        <v/>
      </c>
    </row>
    <row r="737" spans="1:18" ht="15.75" x14ac:dyDescent="0.25">
      <c r="A737" s="8"/>
      <c r="B737" s="9"/>
      <c r="C737" s="8"/>
      <c r="D737" s="22"/>
      <c r="E737" s="8"/>
      <c r="F737" s="9"/>
      <c r="Q737" s="48" t="str">
        <f t="shared" si="25"/>
        <v/>
      </c>
      <c r="R737" s="25" t="str">
        <f t="shared" si="26"/>
        <v/>
      </c>
    </row>
    <row r="738" spans="1:18" ht="15.75" x14ac:dyDescent="0.25">
      <c r="A738" s="5"/>
      <c r="B738" s="6"/>
      <c r="C738" s="5"/>
      <c r="D738" s="7"/>
      <c r="E738" s="5"/>
      <c r="F738" s="6"/>
      <c r="Q738" s="66" t="str">
        <f t="shared" si="25"/>
        <v/>
      </c>
      <c r="R738" s="30" t="str">
        <f t="shared" si="26"/>
        <v/>
      </c>
    </row>
    <row r="739" spans="1:18" ht="15.75" x14ac:dyDescent="0.25">
      <c r="A739" s="8"/>
      <c r="B739" s="9"/>
      <c r="C739" s="8"/>
      <c r="D739" s="22"/>
      <c r="E739" s="8"/>
      <c r="F739" s="9"/>
      <c r="Q739" s="48" t="str">
        <f t="shared" si="25"/>
        <v/>
      </c>
      <c r="R739" s="25" t="str">
        <f t="shared" si="26"/>
        <v/>
      </c>
    </row>
    <row r="740" spans="1:18" ht="15.75" x14ac:dyDescent="0.25">
      <c r="A740" s="5"/>
      <c r="B740" s="6"/>
      <c r="C740" s="5"/>
      <c r="D740" s="7"/>
      <c r="E740" s="5"/>
      <c r="F740" s="6"/>
      <c r="Q740" s="66" t="str">
        <f t="shared" si="25"/>
        <v/>
      </c>
      <c r="R740" s="30" t="str">
        <f t="shared" si="26"/>
        <v/>
      </c>
    </row>
    <row r="741" spans="1:18" ht="15.75" x14ac:dyDescent="0.25">
      <c r="A741" s="8"/>
      <c r="B741" s="9"/>
      <c r="C741" s="8"/>
      <c r="D741" s="22"/>
      <c r="E741" s="8"/>
      <c r="F741" s="9"/>
      <c r="Q741" s="48" t="str">
        <f t="shared" si="25"/>
        <v/>
      </c>
      <c r="R741" s="25" t="str">
        <f t="shared" si="26"/>
        <v/>
      </c>
    </row>
    <row r="742" spans="1:18" ht="15.75" x14ac:dyDescent="0.25">
      <c r="A742" s="5"/>
      <c r="B742" s="6"/>
      <c r="C742" s="5"/>
      <c r="D742" s="7"/>
      <c r="E742" s="5"/>
      <c r="F742" s="6"/>
      <c r="Q742" s="66" t="str">
        <f t="shared" si="25"/>
        <v/>
      </c>
      <c r="R742" s="30" t="str">
        <f t="shared" si="26"/>
        <v/>
      </c>
    </row>
    <row r="743" spans="1:18" ht="15.75" x14ac:dyDescent="0.25">
      <c r="A743" s="8"/>
      <c r="B743" s="9"/>
      <c r="C743" s="8"/>
      <c r="D743" s="22"/>
      <c r="E743" s="8"/>
      <c r="F743" s="9"/>
      <c r="Q743" s="48" t="str">
        <f t="shared" si="25"/>
        <v/>
      </c>
      <c r="R743" s="25" t="str">
        <f t="shared" si="26"/>
        <v/>
      </c>
    </row>
    <row r="744" spans="1:18" ht="15.75" x14ac:dyDescent="0.25">
      <c r="A744" s="5"/>
      <c r="B744" s="6"/>
      <c r="C744" s="5"/>
      <c r="D744" s="7"/>
      <c r="E744" s="5"/>
      <c r="F744" s="6"/>
      <c r="Q744" s="66" t="str">
        <f t="shared" si="25"/>
        <v/>
      </c>
      <c r="R744" s="30" t="str">
        <f t="shared" si="26"/>
        <v/>
      </c>
    </row>
    <row r="745" spans="1:18" ht="15.75" x14ac:dyDescent="0.25">
      <c r="A745" s="8"/>
      <c r="B745" s="9"/>
      <c r="C745" s="8"/>
      <c r="D745" s="22"/>
      <c r="E745" s="8"/>
      <c r="F745" s="9"/>
      <c r="Q745" s="48" t="str">
        <f t="shared" si="25"/>
        <v/>
      </c>
      <c r="R745" s="25" t="str">
        <f t="shared" si="26"/>
        <v/>
      </c>
    </row>
    <row r="746" spans="1:18" ht="15.75" x14ac:dyDescent="0.25">
      <c r="A746" s="5"/>
      <c r="B746" s="6"/>
      <c r="C746" s="5"/>
      <c r="D746" s="7"/>
      <c r="E746" s="5"/>
      <c r="F746" s="6"/>
      <c r="Q746" s="66" t="str">
        <f t="shared" si="25"/>
        <v/>
      </c>
      <c r="R746" s="30" t="str">
        <f t="shared" si="26"/>
        <v/>
      </c>
    </row>
    <row r="747" spans="1:18" ht="15.75" x14ac:dyDescent="0.25">
      <c r="A747" s="8"/>
      <c r="B747" s="9"/>
      <c r="C747" s="8"/>
      <c r="D747" s="22"/>
      <c r="E747" s="8"/>
      <c r="F747" s="9"/>
      <c r="Q747" s="48" t="str">
        <f t="shared" si="25"/>
        <v/>
      </c>
      <c r="R747" s="25" t="str">
        <f t="shared" si="26"/>
        <v/>
      </c>
    </row>
    <row r="748" spans="1:18" ht="15.75" x14ac:dyDescent="0.25">
      <c r="A748" s="5"/>
      <c r="B748" s="6"/>
      <c r="C748" s="5"/>
      <c r="D748" s="7"/>
      <c r="E748" s="5"/>
      <c r="F748" s="6"/>
      <c r="Q748" s="66" t="str">
        <f t="shared" si="25"/>
        <v/>
      </c>
      <c r="R748" s="30" t="str">
        <f t="shared" si="26"/>
        <v/>
      </c>
    </row>
    <row r="749" spans="1:18" ht="15.75" x14ac:dyDescent="0.25">
      <c r="A749" s="8"/>
      <c r="B749" s="9"/>
      <c r="C749" s="8"/>
      <c r="D749" s="22"/>
      <c r="E749" s="8"/>
      <c r="F749" s="9"/>
      <c r="Q749" s="48" t="str">
        <f t="shared" si="25"/>
        <v/>
      </c>
      <c r="R749" s="25" t="str">
        <f t="shared" si="26"/>
        <v/>
      </c>
    </row>
    <row r="750" spans="1:18" ht="15.75" x14ac:dyDescent="0.25">
      <c r="A750" s="5"/>
      <c r="B750" s="6"/>
      <c r="C750" s="5"/>
      <c r="D750" s="7"/>
      <c r="E750" s="5"/>
      <c r="F750" s="6"/>
      <c r="Q750" s="66" t="str">
        <f t="shared" si="25"/>
        <v/>
      </c>
      <c r="R750" s="30" t="str">
        <f t="shared" si="26"/>
        <v/>
      </c>
    </row>
    <row r="751" spans="1:18" ht="15.75" x14ac:dyDescent="0.25">
      <c r="A751" s="8"/>
      <c r="B751" s="9"/>
      <c r="C751" s="8"/>
      <c r="D751" s="22"/>
      <c r="E751" s="8"/>
      <c r="F751" s="9"/>
      <c r="Q751" s="48" t="str">
        <f t="shared" si="25"/>
        <v/>
      </c>
      <c r="R751" s="25" t="str">
        <f t="shared" si="26"/>
        <v/>
      </c>
    </row>
    <row r="752" spans="1:18" ht="15.75" x14ac:dyDescent="0.25">
      <c r="A752" s="5"/>
      <c r="B752" s="6"/>
      <c r="C752" s="5"/>
      <c r="D752" s="7"/>
      <c r="E752" s="5"/>
      <c r="F752" s="6"/>
      <c r="Q752" s="66" t="str">
        <f t="shared" si="25"/>
        <v/>
      </c>
      <c r="R752" s="30" t="str">
        <f t="shared" si="26"/>
        <v/>
      </c>
    </row>
    <row r="753" spans="1:18" ht="15.75" x14ac:dyDescent="0.25">
      <c r="A753" s="8"/>
      <c r="B753" s="9"/>
      <c r="C753" s="8"/>
      <c r="D753" s="22"/>
      <c r="E753" s="8"/>
      <c r="F753" s="9"/>
      <c r="Q753" s="48" t="str">
        <f t="shared" si="25"/>
        <v/>
      </c>
      <c r="R753" s="25" t="str">
        <f t="shared" si="26"/>
        <v/>
      </c>
    </row>
    <row r="754" spans="1:18" ht="15.75" x14ac:dyDescent="0.25">
      <c r="A754" s="5"/>
      <c r="B754" s="6"/>
      <c r="C754" s="5"/>
      <c r="D754" s="7"/>
      <c r="E754" s="5"/>
      <c r="F754" s="6"/>
      <c r="Q754" s="66" t="str">
        <f t="shared" si="25"/>
        <v/>
      </c>
      <c r="R754" s="30" t="str">
        <f t="shared" si="26"/>
        <v/>
      </c>
    </row>
    <row r="755" spans="1:18" ht="15.75" x14ac:dyDescent="0.25">
      <c r="A755" s="8"/>
      <c r="B755" s="9"/>
      <c r="C755" s="8"/>
      <c r="D755" s="22"/>
      <c r="E755" s="8"/>
      <c r="F755" s="9"/>
      <c r="Q755" s="48" t="str">
        <f t="shared" si="25"/>
        <v/>
      </c>
      <c r="R755" s="25" t="str">
        <f t="shared" si="26"/>
        <v/>
      </c>
    </row>
    <row r="756" spans="1:18" ht="15.75" x14ac:dyDescent="0.25">
      <c r="A756" s="5"/>
      <c r="B756" s="6"/>
      <c r="C756" s="5"/>
      <c r="D756" s="7"/>
      <c r="E756" s="5"/>
      <c r="F756" s="6"/>
      <c r="Q756" s="66" t="str">
        <f t="shared" si="25"/>
        <v/>
      </c>
      <c r="R756" s="30" t="str">
        <f t="shared" si="26"/>
        <v/>
      </c>
    </row>
    <row r="757" spans="1:18" ht="15.75" x14ac:dyDescent="0.25">
      <c r="A757" s="8"/>
      <c r="B757" s="9"/>
      <c r="C757" s="8"/>
      <c r="D757" s="22"/>
      <c r="E757" s="8"/>
      <c r="F757" s="9"/>
      <c r="Q757" s="48" t="str">
        <f t="shared" si="25"/>
        <v/>
      </c>
      <c r="R757" s="25" t="str">
        <f t="shared" si="26"/>
        <v/>
      </c>
    </row>
    <row r="758" spans="1:18" ht="15.75" x14ac:dyDescent="0.25">
      <c r="A758" s="5"/>
      <c r="B758" s="6"/>
      <c r="C758" s="5"/>
      <c r="D758" s="7"/>
      <c r="E758" s="5"/>
      <c r="F758" s="6"/>
      <c r="Q758" s="66" t="str">
        <f t="shared" si="25"/>
        <v/>
      </c>
      <c r="R758" s="30" t="str">
        <f t="shared" si="26"/>
        <v/>
      </c>
    </row>
    <row r="759" spans="1:18" ht="15.75" x14ac:dyDescent="0.25">
      <c r="A759" s="8"/>
      <c r="B759" s="9"/>
      <c r="C759" s="8"/>
      <c r="D759" s="22"/>
      <c r="E759" s="8"/>
      <c r="F759" s="9"/>
      <c r="Q759" s="48" t="str">
        <f t="shared" si="25"/>
        <v/>
      </c>
      <c r="R759" s="25" t="str">
        <f t="shared" si="26"/>
        <v/>
      </c>
    </row>
    <row r="760" spans="1:18" ht="15.75" x14ac:dyDescent="0.25">
      <c r="A760" s="5"/>
      <c r="B760" s="6"/>
      <c r="C760" s="5"/>
      <c r="D760" s="7"/>
      <c r="E760" s="5"/>
      <c r="F760" s="6"/>
      <c r="Q760" s="66" t="str">
        <f t="shared" si="25"/>
        <v/>
      </c>
      <c r="R760" s="30" t="str">
        <f t="shared" si="26"/>
        <v/>
      </c>
    </row>
    <row r="761" spans="1:18" ht="15.75" x14ac:dyDescent="0.25">
      <c r="A761" s="8"/>
      <c r="B761" s="9"/>
      <c r="C761" s="8"/>
      <c r="D761" s="22"/>
      <c r="E761" s="8"/>
      <c r="F761" s="9"/>
      <c r="Q761" s="48" t="str">
        <f t="shared" si="25"/>
        <v/>
      </c>
      <c r="R761" s="25" t="str">
        <f t="shared" si="26"/>
        <v/>
      </c>
    </row>
    <row r="762" spans="1:18" ht="15.75" x14ac:dyDescent="0.25">
      <c r="A762" s="5"/>
      <c r="B762" s="6"/>
      <c r="C762" s="5"/>
      <c r="D762" s="7"/>
      <c r="E762" s="5"/>
      <c r="F762" s="6"/>
      <c r="Q762" s="66" t="str">
        <f t="shared" si="25"/>
        <v/>
      </c>
      <c r="R762" s="30" t="str">
        <f t="shared" si="26"/>
        <v/>
      </c>
    </row>
    <row r="763" spans="1:18" ht="15.75" x14ac:dyDescent="0.25">
      <c r="A763" s="8"/>
      <c r="B763" s="9"/>
      <c r="C763" s="8"/>
      <c r="D763" s="22"/>
      <c r="E763" s="8"/>
      <c r="F763" s="9"/>
      <c r="Q763" s="48" t="str">
        <f t="shared" si="25"/>
        <v/>
      </c>
      <c r="R763" s="25" t="str">
        <f t="shared" si="26"/>
        <v/>
      </c>
    </row>
    <row r="764" spans="1:18" ht="15.75" x14ac:dyDescent="0.25">
      <c r="A764" s="5"/>
      <c r="B764" s="6"/>
      <c r="C764" s="5"/>
      <c r="D764" s="7"/>
      <c r="E764" s="5"/>
      <c r="F764" s="6"/>
      <c r="Q764" s="66" t="str">
        <f t="shared" si="25"/>
        <v/>
      </c>
      <c r="R764" s="30" t="str">
        <f t="shared" si="26"/>
        <v/>
      </c>
    </row>
    <row r="765" spans="1:18" ht="15.75" x14ac:dyDescent="0.25">
      <c r="A765" s="8"/>
      <c r="B765" s="9"/>
      <c r="C765" s="8"/>
      <c r="D765" s="22"/>
      <c r="E765" s="8"/>
      <c r="F765" s="9"/>
      <c r="Q765" s="48" t="str">
        <f t="shared" si="25"/>
        <v/>
      </c>
      <c r="R765" s="25" t="str">
        <f t="shared" si="26"/>
        <v/>
      </c>
    </row>
    <row r="766" spans="1:18" ht="15.75" x14ac:dyDescent="0.25">
      <c r="A766" s="5"/>
      <c r="B766" s="6"/>
      <c r="C766" s="5"/>
      <c r="D766" s="7"/>
      <c r="E766" s="5"/>
      <c r="F766" s="6"/>
      <c r="Q766" s="66" t="str">
        <f t="shared" si="25"/>
        <v/>
      </c>
      <c r="R766" s="30" t="str">
        <f t="shared" si="26"/>
        <v/>
      </c>
    </row>
    <row r="767" spans="1:18" ht="15.75" x14ac:dyDescent="0.25">
      <c r="A767" s="8"/>
      <c r="B767" s="9"/>
      <c r="C767" s="8"/>
      <c r="D767" s="22"/>
      <c r="E767" s="8"/>
      <c r="F767" s="9"/>
      <c r="Q767" s="48" t="str">
        <f t="shared" si="25"/>
        <v/>
      </c>
      <c r="R767" s="25" t="str">
        <f t="shared" si="26"/>
        <v/>
      </c>
    </row>
    <row r="768" spans="1:18" ht="15.75" x14ac:dyDescent="0.25">
      <c r="A768" s="5"/>
      <c r="B768" s="6"/>
      <c r="C768" s="5"/>
      <c r="D768" s="7"/>
      <c r="E768" s="5"/>
      <c r="F768" s="6"/>
      <c r="Q768" s="66" t="str">
        <f t="shared" si="25"/>
        <v/>
      </c>
      <c r="R768" s="30" t="str">
        <f t="shared" si="26"/>
        <v/>
      </c>
    </row>
    <row r="769" spans="1:18" ht="15.75" x14ac:dyDescent="0.25">
      <c r="A769" s="8"/>
      <c r="B769" s="9"/>
      <c r="C769" s="8"/>
      <c r="D769" s="22"/>
      <c r="E769" s="8"/>
      <c r="F769" s="9"/>
      <c r="Q769" s="48" t="str">
        <f t="shared" si="25"/>
        <v/>
      </c>
      <c r="R769" s="25" t="str">
        <f t="shared" si="26"/>
        <v/>
      </c>
    </row>
    <row r="770" spans="1:18" ht="15.75" x14ac:dyDescent="0.25">
      <c r="A770" s="5"/>
      <c r="B770" s="6"/>
      <c r="C770" s="5"/>
      <c r="D770" s="7"/>
      <c r="E770" s="5"/>
      <c r="F770" s="6"/>
      <c r="Q770" s="66" t="str">
        <f t="shared" si="25"/>
        <v/>
      </c>
      <c r="R770" s="30" t="str">
        <f t="shared" si="26"/>
        <v/>
      </c>
    </row>
    <row r="771" spans="1:18" ht="15.75" x14ac:dyDescent="0.25">
      <c r="A771" s="8"/>
      <c r="B771" s="9"/>
      <c r="C771" s="8"/>
      <c r="D771" s="22"/>
      <c r="E771" s="8"/>
      <c r="F771" s="9"/>
      <c r="Q771" s="48" t="str">
        <f t="shared" ref="Q771:Q834" si="27">IF(A771=$K$2,D771/60*$N$2,IF(A771=$K$3,D771/60*$N$3,IF(A771=$K$4,D771/60*$N$4,IF(A771=$K$5,D771/60*$N$5,IF(A771=$K$6,D771/60*$N$6,IF(A771=$K$7,D771/60*$N$7,IF(A771=$K$8,D771/60*$N$8,"")))))))</f>
        <v/>
      </c>
      <c r="R771" s="25" t="str">
        <f t="shared" ref="R771:R834" si="28">IF(D771="","",D771/$S$2)</f>
        <v/>
      </c>
    </row>
    <row r="772" spans="1:18" ht="15.75" x14ac:dyDescent="0.25">
      <c r="A772" s="5"/>
      <c r="B772" s="6"/>
      <c r="C772" s="5"/>
      <c r="D772" s="7"/>
      <c r="E772" s="5"/>
      <c r="F772" s="6"/>
      <c r="Q772" s="66" t="str">
        <f t="shared" si="27"/>
        <v/>
      </c>
      <c r="R772" s="30" t="str">
        <f t="shared" si="28"/>
        <v/>
      </c>
    </row>
    <row r="773" spans="1:18" ht="15.75" x14ac:dyDescent="0.25">
      <c r="A773" s="8"/>
      <c r="B773" s="9"/>
      <c r="C773" s="8"/>
      <c r="D773" s="22"/>
      <c r="E773" s="8"/>
      <c r="F773" s="9"/>
      <c r="Q773" s="48" t="str">
        <f t="shared" si="27"/>
        <v/>
      </c>
      <c r="R773" s="25" t="str">
        <f t="shared" si="28"/>
        <v/>
      </c>
    </row>
    <row r="774" spans="1:18" ht="15.75" x14ac:dyDescent="0.25">
      <c r="A774" s="5"/>
      <c r="B774" s="6"/>
      <c r="C774" s="5"/>
      <c r="D774" s="7"/>
      <c r="E774" s="5"/>
      <c r="F774" s="6"/>
      <c r="Q774" s="66" t="str">
        <f t="shared" si="27"/>
        <v/>
      </c>
      <c r="R774" s="30" t="str">
        <f t="shared" si="28"/>
        <v/>
      </c>
    </row>
    <row r="775" spans="1:18" ht="15.75" x14ac:dyDescent="0.25">
      <c r="A775" s="8"/>
      <c r="B775" s="9"/>
      <c r="C775" s="8"/>
      <c r="D775" s="22"/>
      <c r="E775" s="8"/>
      <c r="F775" s="9"/>
      <c r="Q775" s="48" t="str">
        <f t="shared" si="27"/>
        <v/>
      </c>
      <c r="R775" s="25" t="str">
        <f t="shared" si="28"/>
        <v/>
      </c>
    </row>
    <row r="776" spans="1:18" ht="15.75" x14ac:dyDescent="0.25">
      <c r="A776" s="5"/>
      <c r="B776" s="6"/>
      <c r="C776" s="5"/>
      <c r="D776" s="7"/>
      <c r="E776" s="5"/>
      <c r="F776" s="6"/>
      <c r="Q776" s="66" t="str">
        <f t="shared" si="27"/>
        <v/>
      </c>
      <c r="R776" s="30" t="str">
        <f t="shared" si="28"/>
        <v/>
      </c>
    </row>
    <row r="777" spans="1:18" ht="15.75" x14ac:dyDescent="0.25">
      <c r="A777" s="8"/>
      <c r="B777" s="9"/>
      <c r="C777" s="8"/>
      <c r="D777" s="22"/>
      <c r="E777" s="8"/>
      <c r="F777" s="9"/>
      <c r="Q777" s="48" t="str">
        <f t="shared" si="27"/>
        <v/>
      </c>
      <c r="R777" s="25" t="str">
        <f t="shared" si="28"/>
        <v/>
      </c>
    </row>
    <row r="778" spans="1:18" ht="15.75" x14ac:dyDescent="0.25">
      <c r="A778" s="5"/>
      <c r="B778" s="6"/>
      <c r="C778" s="5"/>
      <c r="D778" s="7"/>
      <c r="E778" s="5"/>
      <c r="F778" s="6"/>
      <c r="Q778" s="66" t="str">
        <f t="shared" si="27"/>
        <v/>
      </c>
      <c r="R778" s="30" t="str">
        <f t="shared" si="28"/>
        <v/>
      </c>
    </row>
    <row r="779" spans="1:18" ht="15.75" x14ac:dyDescent="0.25">
      <c r="B779" s="1"/>
      <c r="D779" s="22"/>
      <c r="F779" s="1"/>
      <c r="Q779" s="48" t="str">
        <f t="shared" si="27"/>
        <v/>
      </c>
      <c r="R779" s="25" t="str">
        <f t="shared" si="28"/>
        <v/>
      </c>
    </row>
    <row r="780" spans="1:18" ht="15.75" x14ac:dyDescent="0.25">
      <c r="A780" s="3"/>
      <c r="B780" s="4"/>
      <c r="C780" s="3"/>
      <c r="D780" s="7"/>
      <c r="E780" s="3"/>
      <c r="F780" s="4"/>
      <c r="Q780" s="66" t="str">
        <f t="shared" si="27"/>
        <v/>
      </c>
      <c r="R780" s="30" t="str">
        <f t="shared" si="28"/>
        <v/>
      </c>
    </row>
    <row r="781" spans="1:18" ht="15.75" x14ac:dyDescent="0.25">
      <c r="B781" s="1"/>
      <c r="D781" s="22"/>
      <c r="F781" s="1"/>
      <c r="Q781" s="48" t="str">
        <f t="shared" si="27"/>
        <v/>
      </c>
      <c r="R781" s="25" t="str">
        <f t="shared" si="28"/>
        <v/>
      </c>
    </row>
    <row r="782" spans="1:18" ht="15.75" x14ac:dyDescent="0.25">
      <c r="A782" s="3"/>
      <c r="B782" s="4"/>
      <c r="C782" s="3"/>
      <c r="D782" s="7"/>
      <c r="E782" s="3"/>
      <c r="F782" s="4"/>
      <c r="Q782" s="66" t="str">
        <f t="shared" si="27"/>
        <v/>
      </c>
      <c r="R782" s="30" t="str">
        <f t="shared" si="28"/>
        <v/>
      </c>
    </row>
    <row r="783" spans="1:18" ht="15.75" x14ac:dyDescent="0.25">
      <c r="B783" s="1"/>
      <c r="D783" s="22"/>
      <c r="F783" s="1"/>
      <c r="Q783" s="48" t="str">
        <f t="shared" si="27"/>
        <v/>
      </c>
      <c r="R783" s="25" t="str">
        <f t="shared" si="28"/>
        <v/>
      </c>
    </row>
    <row r="784" spans="1:18" ht="15.75" x14ac:dyDescent="0.25">
      <c r="A784" s="3"/>
      <c r="B784" s="4"/>
      <c r="C784" s="3"/>
      <c r="D784" s="7"/>
      <c r="E784" s="3"/>
      <c r="F784" s="4"/>
      <c r="Q784" s="66" t="str">
        <f t="shared" si="27"/>
        <v/>
      </c>
      <c r="R784" s="30" t="str">
        <f t="shared" si="28"/>
        <v/>
      </c>
    </row>
    <row r="785" spans="1:18" ht="15.75" x14ac:dyDescent="0.25">
      <c r="B785" s="1"/>
      <c r="D785" s="22"/>
      <c r="F785" s="1"/>
      <c r="Q785" s="48" t="str">
        <f t="shared" si="27"/>
        <v/>
      </c>
      <c r="R785" s="25" t="str">
        <f t="shared" si="28"/>
        <v/>
      </c>
    </row>
    <row r="786" spans="1:18" ht="15.75" x14ac:dyDescent="0.25">
      <c r="A786" s="3"/>
      <c r="B786" s="4"/>
      <c r="C786" s="3"/>
      <c r="D786" s="7"/>
      <c r="E786" s="3"/>
      <c r="F786" s="4"/>
      <c r="Q786" s="66" t="str">
        <f t="shared" si="27"/>
        <v/>
      </c>
      <c r="R786" s="30" t="str">
        <f t="shared" si="28"/>
        <v/>
      </c>
    </row>
    <row r="787" spans="1:18" ht="15.75" x14ac:dyDescent="0.25">
      <c r="B787" s="1"/>
      <c r="D787" s="22"/>
      <c r="F787" s="1"/>
      <c r="Q787" s="48" t="str">
        <f t="shared" si="27"/>
        <v/>
      </c>
      <c r="R787" s="25" t="str">
        <f t="shared" si="28"/>
        <v/>
      </c>
    </row>
    <row r="788" spans="1:18" ht="15.75" x14ac:dyDescent="0.25">
      <c r="A788" s="3"/>
      <c r="B788" s="4"/>
      <c r="C788" s="3"/>
      <c r="D788" s="7"/>
      <c r="E788" s="3"/>
      <c r="F788" s="4"/>
      <c r="Q788" s="66" t="str">
        <f t="shared" si="27"/>
        <v/>
      </c>
      <c r="R788" s="30" t="str">
        <f t="shared" si="28"/>
        <v/>
      </c>
    </row>
    <row r="789" spans="1:18" ht="15.75" x14ac:dyDescent="0.25">
      <c r="B789" s="1"/>
      <c r="D789" s="22"/>
      <c r="F789" s="1"/>
      <c r="Q789" s="48" t="str">
        <f t="shared" si="27"/>
        <v/>
      </c>
      <c r="R789" s="25" t="str">
        <f t="shared" si="28"/>
        <v/>
      </c>
    </row>
    <row r="790" spans="1:18" ht="15.75" x14ac:dyDescent="0.25">
      <c r="A790" s="3"/>
      <c r="B790" s="4"/>
      <c r="C790" s="3"/>
      <c r="D790" s="7"/>
      <c r="E790" s="3"/>
      <c r="F790" s="4"/>
      <c r="Q790" s="66" t="str">
        <f t="shared" si="27"/>
        <v/>
      </c>
      <c r="R790" s="30" t="str">
        <f t="shared" si="28"/>
        <v/>
      </c>
    </row>
    <row r="791" spans="1:18" ht="15.75" x14ac:dyDescent="0.25">
      <c r="B791" s="1"/>
      <c r="D791" s="22"/>
      <c r="F791" s="1"/>
      <c r="Q791" s="48" t="str">
        <f t="shared" si="27"/>
        <v/>
      </c>
      <c r="R791" s="25" t="str">
        <f t="shared" si="28"/>
        <v/>
      </c>
    </row>
    <row r="792" spans="1:18" ht="15.75" x14ac:dyDescent="0.25">
      <c r="A792" s="3"/>
      <c r="B792" s="4"/>
      <c r="C792" s="3"/>
      <c r="D792" s="7"/>
      <c r="E792" s="3"/>
      <c r="F792" s="4"/>
      <c r="Q792" s="66" t="str">
        <f t="shared" si="27"/>
        <v/>
      </c>
      <c r="R792" s="30" t="str">
        <f t="shared" si="28"/>
        <v/>
      </c>
    </row>
    <row r="793" spans="1:18" ht="15.75" x14ac:dyDescent="0.25">
      <c r="B793" s="1"/>
      <c r="D793" s="22"/>
      <c r="F793" s="1"/>
      <c r="Q793" s="48" t="str">
        <f t="shared" si="27"/>
        <v/>
      </c>
      <c r="R793" s="25" t="str">
        <f t="shared" si="28"/>
        <v/>
      </c>
    </row>
    <row r="794" spans="1:18" ht="15.75" x14ac:dyDescent="0.25">
      <c r="A794" s="3"/>
      <c r="B794" s="4"/>
      <c r="C794" s="3"/>
      <c r="D794" s="7"/>
      <c r="E794" s="3"/>
      <c r="F794" s="4"/>
      <c r="Q794" s="66" t="str">
        <f t="shared" si="27"/>
        <v/>
      </c>
      <c r="R794" s="30" t="str">
        <f t="shared" si="28"/>
        <v/>
      </c>
    </row>
    <row r="795" spans="1:18" ht="15.75" x14ac:dyDescent="0.25">
      <c r="B795" s="1"/>
      <c r="D795" s="22"/>
      <c r="F795" s="1"/>
      <c r="Q795" s="48" t="str">
        <f t="shared" si="27"/>
        <v/>
      </c>
      <c r="R795" s="25" t="str">
        <f t="shared" si="28"/>
        <v/>
      </c>
    </row>
    <row r="796" spans="1:18" ht="15.75" x14ac:dyDescent="0.25">
      <c r="A796" s="3"/>
      <c r="B796" s="4"/>
      <c r="C796" s="3"/>
      <c r="D796" s="7"/>
      <c r="E796" s="3"/>
      <c r="F796" s="4"/>
      <c r="Q796" s="66" t="str">
        <f t="shared" si="27"/>
        <v/>
      </c>
      <c r="R796" s="30" t="str">
        <f t="shared" si="28"/>
        <v/>
      </c>
    </row>
    <row r="797" spans="1:18" ht="15.75" x14ac:dyDescent="0.25">
      <c r="B797" s="1"/>
      <c r="D797" s="22"/>
      <c r="F797" s="1"/>
      <c r="Q797" s="48" t="str">
        <f t="shared" si="27"/>
        <v/>
      </c>
      <c r="R797" s="25" t="str">
        <f t="shared" si="28"/>
        <v/>
      </c>
    </row>
    <row r="798" spans="1:18" ht="15.75" x14ac:dyDescent="0.25">
      <c r="A798" s="3"/>
      <c r="B798" s="4"/>
      <c r="C798" s="3"/>
      <c r="D798" s="7"/>
      <c r="E798" s="3"/>
      <c r="F798" s="4"/>
      <c r="Q798" s="66" t="str">
        <f t="shared" si="27"/>
        <v/>
      </c>
      <c r="R798" s="30" t="str">
        <f t="shared" si="28"/>
        <v/>
      </c>
    </row>
    <row r="799" spans="1:18" ht="15.75" x14ac:dyDescent="0.25">
      <c r="B799" s="1"/>
      <c r="D799" s="22"/>
      <c r="F799" s="1"/>
      <c r="Q799" s="48" t="str">
        <f t="shared" si="27"/>
        <v/>
      </c>
      <c r="R799" s="25" t="str">
        <f t="shared" si="28"/>
        <v/>
      </c>
    </row>
    <row r="800" spans="1:18" ht="15.75" x14ac:dyDescent="0.25">
      <c r="A800" s="3"/>
      <c r="B800" s="4"/>
      <c r="C800" s="3"/>
      <c r="D800" s="7"/>
      <c r="E800" s="3"/>
      <c r="F800" s="4"/>
      <c r="Q800" s="66" t="str">
        <f t="shared" si="27"/>
        <v/>
      </c>
      <c r="R800" s="30" t="str">
        <f t="shared" si="28"/>
        <v/>
      </c>
    </row>
    <row r="801" spans="1:18" ht="15.75" x14ac:dyDescent="0.25">
      <c r="B801" s="1"/>
      <c r="D801" s="22"/>
      <c r="F801" s="1"/>
      <c r="Q801" s="48" t="str">
        <f t="shared" si="27"/>
        <v/>
      </c>
      <c r="R801" s="25" t="str">
        <f t="shared" si="28"/>
        <v/>
      </c>
    </row>
    <row r="802" spans="1:18" ht="15.75" x14ac:dyDescent="0.25">
      <c r="A802" s="3"/>
      <c r="B802" s="4"/>
      <c r="C802" s="3"/>
      <c r="D802" s="7"/>
      <c r="E802" s="3"/>
      <c r="F802" s="4"/>
      <c r="Q802" s="66" t="str">
        <f t="shared" si="27"/>
        <v/>
      </c>
      <c r="R802" s="30" t="str">
        <f t="shared" si="28"/>
        <v/>
      </c>
    </row>
    <row r="803" spans="1:18" ht="15.75" x14ac:dyDescent="0.25">
      <c r="B803" s="1"/>
      <c r="D803" s="22"/>
      <c r="F803" s="1"/>
      <c r="Q803" s="48" t="str">
        <f t="shared" si="27"/>
        <v/>
      </c>
      <c r="R803" s="25" t="str">
        <f t="shared" si="28"/>
        <v/>
      </c>
    </row>
    <row r="804" spans="1:18" ht="15.75" x14ac:dyDescent="0.25">
      <c r="A804" s="3"/>
      <c r="B804" s="4"/>
      <c r="C804" s="3"/>
      <c r="D804" s="7"/>
      <c r="E804" s="3"/>
      <c r="F804" s="4"/>
      <c r="Q804" s="66" t="str">
        <f t="shared" si="27"/>
        <v/>
      </c>
      <c r="R804" s="30" t="str">
        <f t="shared" si="28"/>
        <v/>
      </c>
    </row>
    <row r="805" spans="1:18" ht="15.75" x14ac:dyDescent="0.25">
      <c r="B805" s="1"/>
      <c r="D805" s="22"/>
      <c r="F805" s="1"/>
      <c r="Q805" s="48" t="str">
        <f t="shared" si="27"/>
        <v/>
      </c>
      <c r="R805" s="25" t="str">
        <f t="shared" si="28"/>
        <v/>
      </c>
    </row>
    <row r="806" spans="1:18" ht="15.75" x14ac:dyDescent="0.25">
      <c r="A806" s="3"/>
      <c r="B806" s="4"/>
      <c r="C806" s="3"/>
      <c r="D806" s="7"/>
      <c r="E806" s="3"/>
      <c r="F806" s="4"/>
      <c r="Q806" s="66" t="str">
        <f t="shared" si="27"/>
        <v/>
      </c>
      <c r="R806" s="30" t="str">
        <f t="shared" si="28"/>
        <v/>
      </c>
    </row>
    <row r="807" spans="1:18" ht="15.75" x14ac:dyDescent="0.25">
      <c r="B807" s="1"/>
      <c r="D807" s="22"/>
      <c r="F807" s="1"/>
      <c r="Q807" s="48" t="str">
        <f t="shared" si="27"/>
        <v/>
      </c>
      <c r="R807" s="25" t="str">
        <f t="shared" si="28"/>
        <v/>
      </c>
    </row>
    <row r="808" spans="1:18" ht="15.75" x14ac:dyDescent="0.25">
      <c r="A808" s="3"/>
      <c r="B808" s="4"/>
      <c r="C808" s="3"/>
      <c r="D808" s="7"/>
      <c r="E808" s="3"/>
      <c r="F808" s="4"/>
      <c r="Q808" s="66" t="str">
        <f t="shared" si="27"/>
        <v/>
      </c>
      <c r="R808" s="30" t="str">
        <f t="shared" si="28"/>
        <v/>
      </c>
    </row>
    <row r="809" spans="1:18" ht="15.75" x14ac:dyDescent="0.25">
      <c r="B809" s="1"/>
      <c r="D809" s="22"/>
      <c r="F809" s="1"/>
      <c r="Q809" s="48" t="str">
        <f t="shared" si="27"/>
        <v/>
      </c>
      <c r="R809" s="25" t="str">
        <f t="shared" si="28"/>
        <v/>
      </c>
    </row>
    <row r="810" spans="1:18" ht="15.75" x14ac:dyDescent="0.25">
      <c r="A810" s="3"/>
      <c r="B810" s="4"/>
      <c r="C810" s="3"/>
      <c r="D810" s="7"/>
      <c r="E810" s="3"/>
      <c r="F810" s="4"/>
      <c r="Q810" s="66" t="str">
        <f t="shared" si="27"/>
        <v/>
      </c>
      <c r="R810" s="30" t="str">
        <f t="shared" si="28"/>
        <v/>
      </c>
    </row>
    <row r="811" spans="1:18" ht="15.75" x14ac:dyDescent="0.25">
      <c r="B811" s="1"/>
      <c r="D811" s="22"/>
      <c r="F811" s="1"/>
      <c r="Q811" s="48" t="str">
        <f t="shared" si="27"/>
        <v/>
      </c>
      <c r="R811" s="25" t="str">
        <f t="shared" si="28"/>
        <v/>
      </c>
    </row>
    <row r="812" spans="1:18" ht="15.75" x14ac:dyDescent="0.25">
      <c r="A812" s="3"/>
      <c r="B812" s="4"/>
      <c r="C812" s="3"/>
      <c r="D812" s="7"/>
      <c r="E812" s="3"/>
      <c r="F812" s="4"/>
      <c r="Q812" s="66" t="str">
        <f t="shared" si="27"/>
        <v/>
      </c>
      <c r="R812" s="30" t="str">
        <f t="shared" si="28"/>
        <v/>
      </c>
    </row>
    <row r="813" spans="1:18" ht="15.75" x14ac:dyDescent="0.25">
      <c r="B813" s="1"/>
      <c r="D813" s="22"/>
      <c r="F813" s="1"/>
      <c r="Q813" s="48" t="str">
        <f t="shared" si="27"/>
        <v/>
      </c>
      <c r="R813" s="25" t="str">
        <f t="shared" si="28"/>
        <v/>
      </c>
    </row>
    <row r="814" spans="1:18" ht="15.75" x14ac:dyDescent="0.25">
      <c r="A814" s="3"/>
      <c r="B814" s="4"/>
      <c r="C814" s="3"/>
      <c r="D814" s="7"/>
      <c r="E814" s="3"/>
      <c r="F814" s="4"/>
      <c r="Q814" s="66" t="str">
        <f t="shared" si="27"/>
        <v/>
      </c>
      <c r="R814" s="30" t="str">
        <f t="shared" si="28"/>
        <v/>
      </c>
    </row>
    <row r="815" spans="1:18" ht="15.75" x14ac:dyDescent="0.25">
      <c r="B815" s="1"/>
      <c r="D815" s="22"/>
      <c r="F815" s="1"/>
      <c r="Q815" s="48" t="str">
        <f t="shared" si="27"/>
        <v/>
      </c>
      <c r="R815" s="25" t="str">
        <f t="shared" si="28"/>
        <v/>
      </c>
    </row>
    <row r="816" spans="1:18" ht="15.75" x14ac:dyDescent="0.25">
      <c r="A816" s="3"/>
      <c r="B816" s="4"/>
      <c r="C816" s="3"/>
      <c r="D816" s="7"/>
      <c r="E816" s="3"/>
      <c r="F816" s="4"/>
      <c r="Q816" s="66" t="str">
        <f t="shared" si="27"/>
        <v/>
      </c>
      <c r="R816" s="30" t="str">
        <f t="shared" si="28"/>
        <v/>
      </c>
    </row>
    <row r="817" spans="1:18" ht="15.75" x14ac:dyDescent="0.25">
      <c r="B817" s="1"/>
      <c r="D817" s="22"/>
      <c r="F817" s="1"/>
      <c r="Q817" s="48" t="str">
        <f t="shared" si="27"/>
        <v/>
      </c>
      <c r="R817" s="25" t="str">
        <f t="shared" si="28"/>
        <v/>
      </c>
    </row>
    <row r="818" spans="1:18" ht="15.75" x14ac:dyDescent="0.25">
      <c r="A818" s="3"/>
      <c r="B818" s="4"/>
      <c r="C818" s="3"/>
      <c r="D818" s="7"/>
      <c r="E818" s="3"/>
      <c r="F818" s="4"/>
      <c r="Q818" s="66" t="str">
        <f t="shared" si="27"/>
        <v/>
      </c>
      <c r="R818" s="30" t="str">
        <f t="shared" si="28"/>
        <v/>
      </c>
    </row>
    <row r="819" spans="1:18" ht="15.75" x14ac:dyDescent="0.25">
      <c r="B819" s="1"/>
      <c r="D819" s="22"/>
      <c r="F819" s="1"/>
      <c r="Q819" s="48" t="str">
        <f t="shared" si="27"/>
        <v/>
      </c>
      <c r="R819" s="25" t="str">
        <f t="shared" si="28"/>
        <v/>
      </c>
    </row>
    <row r="820" spans="1:18" ht="15.75" x14ac:dyDescent="0.25">
      <c r="A820" s="3"/>
      <c r="B820" s="4"/>
      <c r="C820" s="3"/>
      <c r="D820" s="7"/>
      <c r="E820" s="3"/>
      <c r="F820" s="4"/>
      <c r="Q820" s="66" t="str">
        <f t="shared" si="27"/>
        <v/>
      </c>
      <c r="R820" s="30" t="str">
        <f t="shared" si="28"/>
        <v/>
      </c>
    </row>
    <row r="821" spans="1:18" ht="15.75" x14ac:dyDescent="0.25">
      <c r="B821" s="1"/>
      <c r="D821" s="22"/>
      <c r="F821" s="1"/>
      <c r="Q821" s="48" t="str">
        <f t="shared" si="27"/>
        <v/>
      </c>
      <c r="R821" s="25" t="str">
        <f t="shared" si="28"/>
        <v/>
      </c>
    </row>
    <row r="822" spans="1:18" ht="15.75" x14ac:dyDescent="0.25">
      <c r="A822" s="3"/>
      <c r="B822" s="4"/>
      <c r="C822" s="3"/>
      <c r="D822" s="7"/>
      <c r="E822" s="3"/>
      <c r="F822" s="4"/>
      <c r="Q822" s="66" t="str">
        <f t="shared" si="27"/>
        <v/>
      </c>
      <c r="R822" s="30" t="str">
        <f t="shared" si="28"/>
        <v/>
      </c>
    </row>
    <row r="823" spans="1:18" ht="15.75" x14ac:dyDescent="0.25">
      <c r="B823" s="1"/>
      <c r="D823" s="22"/>
      <c r="F823" s="1"/>
      <c r="Q823" s="48" t="str">
        <f t="shared" si="27"/>
        <v/>
      </c>
      <c r="R823" s="25" t="str">
        <f t="shared" si="28"/>
        <v/>
      </c>
    </row>
    <row r="824" spans="1:18" ht="15.75" x14ac:dyDescent="0.25">
      <c r="A824" s="3"/>
      <c r="B824" s="4"/>
      <c r="C824" s="3"/>
      <c r="D824" s="7"/>
      <c r="E824" s="3"/>
      <c r="F824" s="4"/>
      <c r="Q824" s="66" t="str">
        <f t="shared" si="27"/>
        <v/>
      </c>
      <c r="R824" s="30" t="str">
        <f t="shared" si="28"/>
        <v/>
      </c>
    </row>
    <row r="825" spans="1:18" ht="15.75" x14ac:dyDescent="0.25">
      <c r="B825" s="1"/>
      <c r="D825" s="22"/>
      <c r="F825" s="1"/>
      <c r="Q825" s="48" t="str">
        <f t="shared" si="27"/>
        <v/>
      </c>
      <c r="R825" s="25" t="str">
        <f t="shared" si="28"/>
        <v/>
      </c>
    </row>
    <row r="826" spans="1:18" ht="15.75" x14ac:dyDescent="0.25">
      <c r="A826" s="3"/>
      <c r="B826" s="4"/>
      <c r="C826" s="3"/>
      <c r="D826" s="7"/>
      <c r="E826" s="3"/>
      <c r="F826" s="4"/>
      <c r="Q826" s="66" t="str">
        <f t="shared" si="27"/>
        <v/>
      </c>
      <c r="R826" s="30" t="str">
        <f t="shared" si="28"/>
        <v/>
      </c>
    </row>
    <row r="827" spans="1:18" ht="15.75" x14ac:dyDescent="0.25">
      <c r="B827" s="1"/>
      <c r="D827" s="22"/>
      <c r="F827" s="1"/>
      <c r="Q827" s="48" t="str">
        <f t="shared" si="27"/>
        <v/>
      </c>
      <c r="R827" s="25" t="str">
        <f t="shared" si="28"/>
        <v/>
      </c>
    </row>
    <row r="828" spans="1:18" ht="15.75" x14ac:dyDescent="0.25">
      <c r="A828" s="3"/>
      <c r="B828" s="4"/>
      <c r="C828" s="3"/>
      <c r="D828" s="7"/>
      <c r="E828" s="3"/>
      <c r="F828" s="4"/>
      <c r="Q828" s="66" t="str">
        <f t="shared" si="27"/>
        <v/>
      </c>
      <c r="R828" s="30" t="str">
        <f t="shared" si="28"/>
        <v/>
      </c>
    </row>
    <row r="829" spans="1:18" ht="15.75" x14ac:dyDescent="0.25">
      <c r="B829" s="1"/>
      <c r="D829" s="22"/>
      <c r="F829" s="1"/>
      <c r="Q829" s="48" t="str">
        <f t="shared" si="27"/>
        <v/>
      </c>
      <c r="R829" s="25" t="str">
        <f t="shared" si="28"/>
        <v/>
      </c>
    </row>
    <row r="830" spans="1:18" ht="15.75" x14ac:dyDescent="0.25">
      <c r="A830" s="3"/>
      <c r="B830" s="4"/>
      <c r="C830" s="3"/>
      <c r="D830" s="7"/>
      <c r="E830" s="3"/>
      <c r="F830" s="4"/>
      <c r="Q830" s="66" t="str">
        <f t="shared" si="27"/>
        <v/>
      </c>
      <c r="R830" s="30" t="str">
        <f t="shared" si="28"/>
        <v/>
      </c>
    </row>
    <row r="831" spans="1:18" ht="15.75" x14ac:dyDescent="0.25">
      <c r="B831" s="1"/>
      <c r="D831" s="22"/>
      <c r="F831" s="1"/>
      <c r="Q831" s="48" t="str">
        <f t="shared" si="27"/>
        <v/>
      </c>
      <c r="R831" s="25" t="str">
        <f t="shared" si="28"/>
        <v/>
      </c>
    </row>
    <row r="832" spans="1:18" ht="15.75" x14ac:dyDescent="0.25">
      <c r="A832" s="3"/>
      <c r="B832" s="4"/>
      <c r="C832" s="3"/>
      <c r="D832" s="7"/>
      <c r="E832" s="3"/>
      <c r="F832" s="4"/>
      <c r="Q832" s="66" t="str">
        <f t="shared" si="27"/>
        <v/>
      </c>
      <c r="R832" s="30" t="str">
        <f t="shared" si="28"/>
        <v/>
      </c>
    </row>
    <row r="833" spans="1:18" ht="15.75" x14ac:dyDescent="0.25">
      <c r="B833" s="1"/>
      <c r="D833" s="22"/>
      <c r="F833" s="1"/>
      <c r="Q833" s="48" t="str">
        <f t="shared" si="27"/>
        <v/>
      </c>
      <c r="R833" s="25" t="str">
        <f t="shared" si="28"/>
        <v/>
      </c>
    </row>
    <row r="834" spans="1:18" ht="15.75" x14ac:dyDescent="0.25">
      <c r="A834" s="3"/>
      <c r="B834" s="4"/>
      <c r="C834" s="3"/>
      <c r="D834" s="7"/>
      <c r="E834" s="3"/>
      <c r="F834" s="4"/>
      <c r="Q834" s="66" t="str">
        <f t="shared" si="27"/>
        <v/>
      </c>
      <c r="R834" s="30" t="str">
        <f t="shared" si="28"/>
        <v/>
      </c>
    </row>
    <row r="835" spans="1:18" ht="15.75" x14ac:dyDescent="0.25">
      <c r="B835" s="1"/>
      <c r="D835" s="22"/>
      <c r="F835" s="1"/>
      <c r="Q835" s="48" t="str">
        <f t="shared" ref="Q835:Q898" si="29">IF(A835=$K$2,D835/60*$N$2,IF(A835=$K$3,D835/60*$N$3,IF(A835=$K$4,D835/60*$N$4,IF(A835=$K$5,D835/60*$N$5,IF(A835=$K$6,D835/60*$N$6,IF(A835=$K$7,D835/60*$N$7,IF(A835=$K$8,D835/60*$N$8,"")))))))</f>
        <v/>
      </c>
      <c r="R835" s="25" t="str">
        <f t="shared" ref="R835:R898" si="30">IF(D835="","",D835/$S$2)</f>
        <v/>
      </c>
    </row>
    <row r="836" spans="1:18" ht="15.75" x14ac:dyDescent="0.25">
      <c r="A836" s="3"/>
      <c r="B836" s="4"/>
      <c r="C836" s="3"/>
      <c r="D836" s="7"/>
      <c r="E836" s="3"/>
      <c r="F836" s="4"/>
      <c r="Q836" s="66" t="str">
        <f t="shared" si="29"/>
        <v/>
      </c>
      <c r="R836" s="30" t="str">
        <f t="shared" si="30"/>
        <v/>
      </c>
    </row>
    <row r="837" spans="1:18" ht="15.75" x14ac:dyDescent="0.25">
      <c r="B837" s="1"/>
      <c r="D837" s="22"/>
      <c r="F837" s="1"/>
      <c r="Q837" s="48" t="str">
        <f t="shared" si="29"/>
        <v/>
      </c>
      <c r="R837" s="25" t="str">
        <f t="shared" si="30"/>
        <v/>
      </c>
    </row>
    <row r="838" spans="1:18" ht="15.75" x14ac:dyDescent="0.25">
      <c r="A838" s="3"/>
      <c r="B838" s="4"/>
      <c r="C838" s="3"/>
      <c r="D838" s="7"/>
      <c r="E838" s="3"/>
      <c r="F838" s="4"/>
      <c r="Q838" s="66" t="str">
        <f t="shared" si="29"/>
        <v/>
      </c>
      <c r="R838" s="30" t="str">
        <f t="shared" si="30"/>
        <v/>
      </c>
    </row>
    <row r="839" spans="1:18" ht="15.75" x14ac:dyDescent="0.25">
      <c r="B839" s="1"/>
      <c r="D839" s="22"/>
      <c r="F839" s="1"/>
      <c r="Q839" s="48" t="str">
        <f t="shared" si="29"/>
        <v/>
      </c>
      <c r="R839" s="25" t="str">
        <f t="shared" si="30"/>
        <v/>
      </c>
    </row>
    <row r="840" spans="1:18" ht="15.75" x14ac:dyDescent="0.25">
      <c r="A840" s="3"/>
      <c r="B840" s="4"/>
      <c r="C840" s="3"/>
      <c r="D840" s="7"/>
      <c r="E840" s="3"/>
      <c r="F840" s="4"/>
      <c r="Q840" s="66" t="str">
        <f t="shared" si="29"/>
        <v/>
      </c>
      <c r="R840" s="30" t="str">
        <f t="shared" si="30"/>
        <v/>
      </c>
    </row>
    <row r="841" spans="1:18" ht="15.75" x14ac:dyDescent="0.25">
      <c r="B841" s="1"/>
      <c r="D841" s="22"/>
      <c r="F841" s="1"/>
      <c r="Q841" s="48" t="str">
        <f t="shared" si="29"/>
        <v/>
      </c>
      <c r="R841" s="25" t="str">
        <f t="shared" si="30"/>
        <v/>
      </c>
    </row>
    <row r="842" spans="1:18" ht="15.75" x14ac:dyDescent="0.25">
      <c r="A842" s="3"/>
      <c r="B842" s="4"/>
      <c r="C842" s="3"/>
      <c r="D842" s="7"/>
      <c r="E842" s="3"/>
      <c r="F842" s="4"/>
      <c r="Q842" s="66" t="str">
        <f t="shared" si="29"/>
        <v/>
      </c>
      <c r="R842" s="30" t="str">
        <f t="shared" si="30"/>
        <v/>
      </c>
    </row>
    <row r="843" spans="1:18" ht="15.75" x14ac:dyDescent="0.25">
      <c r="B843" s="1"/>
      <c r="D843" s="22"/>
      <c r="F843" s="1"/>
      <c r="Q843" s="48" t="str">
        <f t="shared" si="29"/>
        <v/>
      </c>
      <c r="R843" s="25" t="str">
        <f t="shared" si="30"/>
        <v/>
      </c>
    </row>
    <row r="844" spans="1:18" ht="15.75" x14ac:dyDescent="0.25">
      <c r="A844" s="3"/>
      <c r="B844" s="4"/>
      <c r="C844" s="3"/>
      <c r="D844" s="7"/>
      <c r="E844" s="3"/>
      <c r="F844" s="4"/>
      <c r="Q844" s="66" t="str">
        <f t="shared" si="29"/>
        <v/>
      </c>
      <c r="R844" s="30" t="str">
        <f t="shared" si="30"/>
        <v/>
      </c>
    </row>
    <row r="845" spans="1:18" ht="15.75" x14ac:dyDescent="0.25">
      <c r="B845" s="1"/>
      <c r="D845" s="22"/>
      <c r="F845" s="1"/>
      <c r="Q845" s="48" t="str">
        <f t="shared" si="29"/>
        <v/>
      </c>
      <c r="R845" s="25" t="str">
        <f t="shared" si="30"/>
        <v/>
      </c>
    </row>
    <row r="846" spans="1:18" ht="15.75" x14ac:dyDescent="0.25">
      <c r="A846" s="3"/>
      <c r="B846" s="4"/>
      <c r="C846" s="3"/>
      <c r="D846" s="7"/>
      <c r="E846" s="3"/>
      <c r="F846" s="4"/>
      <c r="Q846" s="66" t="str">
        <f t="shared" si="29"/>
        <v/>
      </c>
      <c r="R846" s="30" t="str">
        <f t="shared" si="30"/>
        <v/>
      </c>
    </row>
    <row r="847" spans="1:18" ht="15.75" x14ac:dyDescent="0.25">
      <c r="B847" s="1"/>
      <c r="D847" s="22"/>
      <c r="F847" s="1"/>
      <c r="Q847" s="48" t="str">
        <f t="shared" si="29"/>
        <v/>
      </c>
      <c r="R847" s="25" t="str">
        <f t="shared" si="30"/>
        <v/>
      </c>
    </row>
    <row r="848" spans="1:18" ht="15.75" x14ac:dyDescent="0.25">
      <c r="A848" s="3"/>
      <c r="B848" s="4"/>
      <c r="C848" s="3"/>
      <c r="D848" s="7"/>
      <c r="E848" s="3"/>
      <c r="F848" s="4"/>
      <c r="Q848" s="66" t="str">
        <f t="shared" si="29"/>
        <v/>
      </c>
      <c r="R848" s="30" t="str">
        <f t="shared" si="30"/>
        <v/>
      </c>
    </row>
    <row r="849" spans="1:18" ht="15.75" x14ac:dyDescent="0.25">
      <c r="B849" s="1"/>
      <c r="D849" s="22"/>
      <c r="F849" s="1"/>
      <c r="Q849" s="48" t="str">
        <f t="shared" si="29"/>
        <v/>
      </c>
      <c r="R849" s="25" t="str">
        <f t="shared" si="30"/>
        <v/>
      </c>
    </row>
    <row r="850" spans="1:18" ht="15.75" x14ac:dyDescent="0.25">
      <c r="A850" s="3"/>
      <c r="B850" s="4"/>
      <c r="C850" s="3"/>
      <c r="D850" s="7"/>
      <c r="E850" s="3"/>
      <c r="F850" s="4"/>
      <c r="Q850" s="66" t="str">
        <f t="shared" si="29"/>
        <v/>
      </c>
      <c r="R850" s="30" t="str">
        <f t="shared" si="30"/>
        <v/>
      </c>
    </row>
    <row r="851" spans="1:18" ht="15.75" x14ac:dyDescent="0.25">
      <c r="B851" s="1"/>
      <c r="D851" s="22"/>
      <c r="F851" s="1"/>
      <c r="Q851" s="48" t="str">
        <f t="shared" si="29"/>
        <v/>
      </c>
      <c r="R851" s="25" t="str">
        <f t="shared" si="30"/>
        <v/>
      </c>
    </row>
    <row r="852" spans="1:18" ht="15.75" x14ac:dyDescent="0.25">
      <c r="A852" s="3"/>
      <c r="B852" s="4"/>
      <c r="C852" s="3"/>
      <c r="D852" s="7"/>
      <c r="E852" s="3"/>
      <c r="F852" s="4"/>
      <c r="Q852" s="66" t="str">
        <f t="shared" si="29"/>
        <v/>
      </c>
      <c r="R852" s="30" t="str">
        <f t="shared" si="30"/>
        <v/>
      </c>
    </row>
    <row r="853" spans="1:18" ht="15.75" x14ac:dyDescent="0.25">
      <c r="B853" s="1"/>
      <c r="D853" s="22"/>
      <c r="F853" s="1"/>
      <c r="Q853" s="48" t="str">
        <f t="shared" si="29"/>
        <v/>
      </c>
      <c r="R853" s="25" t="str">
        <f t="shared" si="30"/>
        <v/>
      </c>
    </row>
    <row r="854" spans="1:18" ht="15.75" x14ac:dyDescent="0.25">
      <c r="A854" s="3"/>
      <c r="B854" s="4"/>
      <c r="C854" s="3"/>
      <c r="D854" s="7"/>
      <c r="E854" s="3"/>
      <c r="F854" s="4"/>
      <c r="Q854" s="66" t="str">
        <f t="shared" si="29"/>
        <v/>
      </c>
      <c r="R854" s="30" t="str">
        <f t="shared" si="30"/>
        <v/>
      </c>
    </row>
    <row r="855" spans="1:18" ht="15.75" x14ac:dyDescent="0.25">
      <c r="B855" s="1"/>
      <c r="D855" s="22"/>
      <c r="F855" s="1"/>
      <c r="Q855" s="48" t="str">
        <f t="shared" si="29"/>
        <v/>
      </c>
      <c r="R855" s="25" t="str">
        <f t="shared" si="30"/>
        <v/>
      </c>
    </row>
    <row r="856" spans="1:18" ht="15.75" x14ac:dyDescent="0.25">
      <c r="A856" s="3"/>
      <c r="B856" s="4"/>
      <c r="C856" s="3"/>
      <c r="D856" s="7"/>
      <c r="E856" s="3"/>
      <c r="F856" s="4"/>
      <c r="Q856" s="66" t="str">
        <f t="shared" si="29"/>
        <v/>
      </c>
      <c r="R856" s="30" t="str">
        <f t="shared" si="30"/>
        <v/>
      </c>
    </row>
    <row r="857" spans="1:18" ht="15.75" x14ac:dyDescent="0.25">
      <c r="B857" s="1"/>
      <c r="D857" s="22"/>
      <c r="F857" s="1"/>
      <c r="Q857" s="48" t="str">
        <f t="shared" si="29"/>
        <v/>
      </c>
      <c r="R857" s="25" t="str">
        <f t="shared" si="30"/>
        <v/>
      </c>
    </row>
    <row r="858" spans="1:18" ht="15.75" x14ac:dyDescent="0.25">
      <c r="A858" s="3"/>
      <c r="B858" s="4"/>
      <c r="C858" s="3"/>
      <c r="D858" s="7"/>
      <c r="E858" s="3"/>
      <c r="F858" s="4"/>
      <c r="Q858" s="66" t="str">
        <f t="shared" si="29"/>
        <v/>
      </c>
      <c r="R858" s="30" t="str">
        <f t="shared" si="30"/>
        <v/>
      </c>
    </row>
    <row r="859" spans="1:18" ht="15.75" x14ac:dyDescent="0.25">
      <c r="B859" s="1"/>
      <c r="D859" s="22"/>
      <c r="F859" s="1"/>
      <c r="Q859" s="48" t="str">
        <f t="shared" si="29"/>
        <v/>
      </c>
      <c r="R859" s="25" t="str">
        <f t="shared" si="30"/>
        <v/>
      </c>
    </row>
    <row r="860" spans="1:18" ht="15.75" x14ac:dyDescent="0.25">
      <c r="A860" s="3"/>
      <c r="B860" s="4"/>
      <c r="C860" s="3"/>
      <c r="D860" s="7"/>
      <c r="E860" s="3"/>
      <c r="F860" s="4"/>
      <c r="Q860" s="66" t="str">
        <f t="shared" si="29"/>
        <v/>
      </c>
      <c r="R860" s="30" t="str">
        <f t="shared" si="30"/>
        <v/>
      </c>
    </row>
    <row r="861" spans="1:18" ht="15.75" x14ac:dyDescent="0.25">
      <c r="B861" s="1"/>
      <c r="D861" s="22"/>
      <c r="F861" s="1"/>
      <c r="Q861" s="48" t="str">
        <f t="shared" si="29"/>
        <v/>
      </c>
      <c r="R861" s="25" t="str">
        <f t="shared" si="30"/>
        <v/>
      </c>
    </row>
    <row r="862" spans="1:18" ht="15.75" x14ac:dyDescent="0.25">
      <c r="A862" s="3"/>
      <c r="B862" s="4"/>
      <c r="C862" s="3"/>
      <c r="D862" s="7"/>
      <c r="E862" s="3"/>
      <c r="F862" s="4"/>
      <c r="Q862" s="66" t="str">
        <f t="shared" si="29"/>
        <v/>
      </c>
      <c r="R862" s="30" t="str">
        <f t="shared" si="30"/>
        <v/>
      </c>
    </row>
    <row r="863" spans="1:18" ht="15.75" x14ac:dyDescent="0.25">
      <c r="B863" s="1"/>
      <c r="D863" s="22"/>
      <c r="F863" s="1"/>
      <c r="Q863" s="48" t="str">
        <f t="shared" si="29"/>
        <v/>
      </c>
      <c r="R863" s="25" t="str">
        <f t="shared" si="30"/>
        <v/>
      </c>
    </row>
    <row r="864" spans="1:18" ht="15.75" x14ac:dyDescent="0.25">
      <c r="A864" s="3"/>
      <c r="B864" s="4"/>
      <c r="C864" s="3"/>
      <c r="D864" s="7"/>
      <c r="E864" s="3"/>
      <c r="F864" s="4"/>
      <c r="Q864" s="66" t="str">
        <f t="shared" si="29"/>
        <v/>
      </c>
      <c r="R864" s="30" t="str">
        <f t="shared" si="30"/>
        <v/>
      </c>
    </row>
    <row r="865" spans="1:18" ht="15.75" x14ac:dyDescent="0.25">
      <c r="B865" s="1"/>
      <c r="D865" s="22"/>
      <c r="F865" s="1"/>
      <c r="Q865" s="48" t="str">
        <f t="shared" si="29"/>
        <v/>
      </c>
      <c r="R865" s="25" t="str">
        <f t="shared" si="30"/>
        <v/>
      </c>
    </row>
    <row r="866" spans="1:18" ht="15.75" x14ac:dyDescent="0.25">
      <c r="A866" s="3"/>
      <c r="B866" s="4"/>
      <c r="C866" s="3"/>
      <c r="D866" s="7"/>
      <c r="E866" s="3"/>
      <c r="F866" s="4"/>
      <c r="Q866" s="66" t="str">
        <f t="shared" si="29"/>
        <v/>
      </c>
      <c r="R866" s="30" t="str">
        <f t="shared" si="30"/>
        <v/>
      </c>
    </row>
    <row r="867" spans="1:18" ht="15.75" x14ac:dyDescent="0.25">
      <c r="B867" s="1"/>
      <c r="D867" s="22"/>
      <c r="F867" s="1"/>
      <c r="Q867" s="48" t="str">
        <f t="shared" si="29"/>
        <v/>
      </c>
      <c r="R867" s="25" t="str">
        <f t="shared" si="30"/>
        <v/>
      </c>
    </row>
    <row r="868" spans="1:18" ht="15.75" x14ac:dyDescent="0.25">
      <c r="A868" s="3"/>
      <c r="B868" s="4"/>
      <c r="C868" s="3"/>
      <c r="D868" s="7"/>
      <c r="E868" s="3"/>
      <c r="F868" s="4"/>
      <c r="Q868" s="66" t="str">
        <f t="shared" si="29"/>
        <v/>
      </c>
      <c r="R868" s="30" t="str">
        <f t="shared" si="30"/>
        <v/>
      </c>
    </row>
    <row r="869" spans="1:18" ht="15.75" x14ac:dyDescent="0.25">
      <c r="B869" s="1"/>
      <c r="D869" s="22"/>
      <c r="F869" s="1"/>
      <c r="Q869" s="48" t="str">
        <f t="shared" si="29"/>
        <v/>
      </c>
      <c r="R869" s="25" t="str">
        <f t="shared" si="30"/>
        <v/>
      </c>
    </row>
    <row r="870" spans="1:18" ht="15.75" x14ac:dyDescent="0.25">
      <c r="A870" s="3"/>
      <c r="B870" s="4"/>
      <c r="C870" s="3"/>
      <c r="D870" s="7"/>
      <c r="E870" s="3"/>
      <c r="F870" s="4"/>
      <c r="Q870" s="66" t="str">
        <f t="shared" si="29"/>
        <v/>
      </c>
      <c r="R870" s="30" t="str">
        <f t="shared" si="30"/>
        <v/>
      </c>
    </row>
    <row r="871" spans="1:18" ht="15.75" x14ac:dyDescent="0.25">
      <c r="B871" s="1"/>
      <c r="D871" s="22"/>
      <c r="F871" s="1"/>
      <c r="Q871" s="48" t="str">
        <f t="shared" si="29"/>
        <v/>
      </c>
      <c r="R871" s="25" t="str">
        <f t="shared" si="30"/>
        <v/>
      </c>
    </row>
    <row r="872" spans="1:18" ht="15.75" x14ac:dyDescent="0.25">
      <c r="A872" s="3"/>
      <c r="B872" s="4"/>
      <c r="C872" s="3"/>
      <c r="D872" s="7"/>
      <c r="E872" s="3"/>
      <c r="F872" s="4"/>
      <c r="Q872" s="66" t="str">
        <f t="shared" si="29"/>
        <v/>
      </c>
      <c r="R872" s="30" t="str">
        <f t="shared" si="30"/>
        <v/>
      </c>
    </row>
    <row r="873" spans="1:18" ht="15.75" x14ac:dyDescent="0.25">
      <c r="B873" s="1"/>
      <c r="D873" s="22"/>
      <c r="F873" s="1"/>
      <c r="Q873" s="48" t="str">
        <f t="shared" si="29"/>
        <v/>
      </c>
      <c r="R873" s="25" t="str">
        <f t="shared" si="30"/>
        <v/>
      </c>
    </row>
    <row r="874" spans="1:18" ht="15.75" x14ac:dyDescent="0.25">
      <c r="A874" s="3"/>
      <c r="B874" s="4"/>
      <c r="C874" s="3"/>
      <c r="D874" s="7"/>
      <c r="E874" s="3"/>
      <c r="F874" s="4"/>
      <c r="Q874" s="66" t="str">
        <f t="shared" si="29"/>
        <v/>
      </c>
      <c r="R874" s="30" t="str">
        <f t="shared" si="30"/>
        <v/>
      </c>
    </row>
    <row r="875" spans="1:18" ht="15.75" x14ac:dyDescent="0.25">
      <c r="B875" s="1"/>
      <c r="D875" s="22"/>
      <c r="F875" s="1"/>
      <c r="Q875" s="48" t="str">
        <f t="shared" si="29"/>
        <v/>
      </c>
      <c r="R875" s="25" t="str">
        <f t="shared" si="30"/>
        <v/>
      </c>
    </row>
    <row r="876" spans="1:18" ht="15.75" x14ac:dyDescent="0.25">
      <c r="A876" s="3"/>
      <c r="B876" s="4"/>
      <c r="C876" s="3"/>
      <c r="D876" s="7"/>
      <c r="E876" s="3"/>
      <c r="F876" s="4"/>
      <c r="Q876" s="66" t="str">
        <f t="shared" si="29"/>
        <v/>
      </c>
      <c r="R876" s="30" t="str">
        <f t="shared" si="30"/>
        <v/>
      </c>
    </row>
    <row r="877" spans="1:18" ht="15.75" x14ac:dyDescent="0.25">
      <c r="B877" s="1"/>
      <c r="D877" s="22"/>
      <c r="F877" s="1"/>
      <c r="Q877" s="48" t="str">
        <f t="shared" si="29"/>
        <v/>
      </c>
      <c r="R877" s="25" t="str">
        <f t="shared" si="30"/>
        <v/>
      </c>
    </row>
    <row r="878" spans="1:18" ht="15.75" x14ac:dyDescent="0.25">
      <c r="A878" s="3"/>
      <c r="B878" s="4"/>
      <c r="C878" s="3"/>
      <c r="D878" s="7"/>
      <c r="E878" s="3"/>
      <c r="F878" s="4"/>
      <c r="Q878" s="66" t="str">
        <f t="shared" si="29"/>
        <v/>
      </c>
      <c r="R878" s="30" t="str">
        <f t="shared" si="30"/>
        <v/>
      </c>
    </row>
    <row r="879" spans="1:18" ht="15.75" x14ac:dyDescent="0.25">
      <c r="B879" s="1"/>
      <c r="D879" s="22"/>
      <c r="F879" s="1"/>
      <c r="Q879" s="48" t="str">
        <f t="shared" si="29"/>
        <v/>
      </c>
      <c r="R879" s="25" t="str">
        <f t="shared" si="30"/>
        <v/>
      </c>
    </row>
    <row r="880" spans="1:18" ht="15.75" x14ac:dyDescent="0.25">
      <c r="A880" s="3"/>
      <c r="B880" s="4"/>
      <c r="C880" s="3"/>
      <c r="D880" s="7"/>
      <c r="E880" s="3"/>
      <c r="F880" s="4"/>
      <c r="Q880" s="66" t="str">
        <f t="shared" si="29"/>
        <v/>
      </c>
      <c r="R880" s="30" t="str">
        <f t="shared" si="30"/>
        <v/>
      </c>
    </row>
    <row r="881" spans="1:18" ht="15.75" x14ac:dyDescent="0.25">
      <c r="B881" s="1"/>
      <c r="D881" s="22"/>
      <c r="F881" s="1"/>
      <c r="Q881" s="48" t="str">
        <f t="shared" si="29"/>
        <v/>
      </c>
      <c r="R881" s="25" t="str">
        <f t="shared" si="30"/>
        <v/>
      </c>
    </row>
    <row r="882" spans="1:18" ht="15.75" x14ac:dyDescent="0.25">
      <c r="A882" s="3"/>
      <c r="B882" s="4"/>
      <c r="C882" s="3"/>
      <c r="D882" s="7"/>
      <c r="E882" s="3"/>
      <c r="F882" s="4"/>
      <c r="Q882" s="66" t="str">
        <f t="shared" si="29"/>
        <v/>
      </c>
      <c r="R882" s="30" t="str">
        <f t="shared" si="30"/>
        <v/>
      </c>
    </row>
    <row r="883" spans="1:18" ht="15.75" x14ac:dyDescent="0.25">
      <c r="B883" s="1"/>
      <c r="D883" s="22"/>
      <c r="F883" s="1"/>
      <c r="Q883" s="48" t="str">
        <f t="shared" si="29"/>
        <v/>
      </c>
      <c r="R883" s="25" t="str">
        <f t="shared" si="30"/>
        <v/>
      </c>
    </row>
    <row r="884" spans="1:18" ht="15.75" x14ac:dyDescent="0.25">
      <c r="A884" s="3"/>
      <c r="B884" s="4"/>
      <c r="C884" s="3"/>
      <c r="D884" s="7"/>
      <c r="E884" s="3"/>
      <c r="F884" s="4"/>
      <c r="Q884" s="66" t="str">
        <f t="shared" si="29"/>
        <v/>
      </c>
      <c r="R884" s="30" t="str">
        <f t="shared" si="30"/>
        <v/>
      </c>
    </row>
    <row r="885" spans="1:18" ht="15.75" x14ac:dyDescent="0.25">
      <c r="B885" s="1"/>
      <c r="D885" s="22"/>
      <c r="F885" s="1"/>
      <c r="Q885" s="48" t="str">
        <f t="shared" si="29"/>
        <v/>
      </c>
      <c r="R885" s="25" t="str">
        <f t="shared" si="30"/>
        <v/>
      </c>
    </row>
    <row r="886" spans="1:18" ht="15.75" x14ac:dyDescent="0.25">
      <c r="A886" s="3"/>
      <c r="B886" s="4"/>
      <c r="C886" s="3"/>
      <c r="D886" s="7"/>
      <c r="E886" s="3"/>
      <c r="F886" s="4"/>
      <c r="Q886" s="66" t="str">
        <f t="shared" si="29"/>
        <v/>
      </c>
      <c r="R886" s="30" t="str">
        <f t="shared" si="30"/>
        <v/>
      </c>
    </row>
    <row r="887" spans="1:18" ht="15.75" x14ac:dyDescent="0.25">
      <c r="B887" s="1"/>
      <c r="D887" s="22"/>
      <c r="F887" s="1"/>
      <c r="Q887" s="48" t="str">
        <f t="shared" si="29"/>
        <v/>
      </c>
      <c r="R887" s="25" t="str">
        <f t="shared" si="30"/>
        <v/>
      </c>
    </row>
    <row r="888" spans="1:18" ht="15.75" x14ac:dyDescent="0.25">
      <c r="A888" s="3"/>
      <c r="B888" s="4"/>
      <c r="C888" s="3"/>
      <c r="D888" s="7"/>
      <c r="E888" s="3"/>
      <c r="F888" s="4"/>
      <c r="Q888" s="66" t="str">
        <f t="shared" si="29"/>
        <v/>
      </c>
      <c r="R888" s="30" t="str">
        <f t="shared" si="30"/>
        <v/>
      </c>
    </row>
    <row r="889" spans="1:18" ht="15.75" x14ac:dyDescent="0.25">
      <c r="B889" s="1"/>
      <c r="D889" s="22"/>
      <c r="F889" s="1"/>
      <c r="Q889" s="48" t="str">
        <f t="shared" si="29"/>
        <v/>
      </c>
      <c r="R889" s="25" t="str">
        <f t="shared" si="30"/>
        <v/>
      </c>
    </row>
    <row r="890" spans="1:18" ht="15.75" x14ac:dyDescent="0.25">
      <c r="A890" s="3"/>
      <c r="B890" s="4"/>
      <c r="C890" s="3"/>
      <c r="D890" s="7"/>
      <c r="E890" s="3"/>
      <c r="F890" s="4"/>
      <c r="Q890" s="66" t="str">
        <f t="shared" si="29"/>
        <v/>
      </c>
      <c r="R890" s="30" t="str">
        <f t="shared" si="30"/>
        <v/>
      </c>
    </row>
    <row r="891" spans="1:18" ht="15.75" x14ac:dyDescent="0.25">
      <c r="B891" s="1"/>
      <c r="D891" s="22"/>
      <c r="F891" s="1"/>
      <c r="Q891" s="48" t="str">
        <f t="shared" si="29"/>
        <v/>
      </c>
      <c r="R891" s="25" t="str">
        <f t="shared" si="30"/>
        <v/>
      </c>
    </row>
    <row r="892" spans="1:18" ht="15.75" x14ac:dyDescent="0.25">
      <c r="A892" s="3"/>
      <c r="B892" s="4"/>
      <c r="C892" s="3"/>
      <c r="D892" s="7"/>
      <c r="E892" s="3"/>
      <c r="F892" s="4"/>
      <c r="Q892" s="66" t="str">
        <f t="shared" si="29"/>
        <v/>
      </c>
      <c r="R892" s="30" t="str">
        <f t="shared" si="30"/>
        <v/>
      </c>
    </row>
    <row r="893" spans="1:18" ht="15.75" x14ac:dyDescent="0.25">
      <c r="B893" s="1"/>
      <c r="D893" s="22"/>
      <c r="F893" s="1"/>
      <c r="Q893" s="48" t="str">
        <f t="shared" si="29"/>
        <v/>
      </c>
      <c r="R893" s="25" t="str">
        <f t="shared" si="30"/>
        <v/>
      </c>
    </row>
    <row r="894" spans="1:18" ht="15.75" x14ac:dyDescent="0.25">
      <c r="A894" s="3"/>
      <c r="B894" s="4"/>
      <c r="C894" s="3"/>
      <c r="D894" s="7"/>
      <c r="E894" s="3"/>
      <c r="F894" s="4"/>
      <c r="Q894" s="66" t="str">
        <f t="shared" si="29"/>
        <v/>
      </c>
      <c r="R894" s="30" t="str">
        <f t="shared" si="30"/>
        <v/>
      </c>
    </row>
    <row r="895" spans="1:18" ht="15.75" x14ac:dyDescent="0.25">
      <c r="B895" s="1"/>
      <c r="D895" s="22"/>
      <c r="F895" s="1"/>
      <c r="Q895" s="48" t="str">
        <f t="shared" si="29"/>
        <v/>
      </c>
      <c r="R895" s="25" t="str">
        <f t="shared" si="30"/>
        <v/>
      </c>
    </row>
    <row r="896" spans="1:18" ht="15.75" x14ac:dyDescent="0.25">
      <c r="A896" s="3"/>
      <c r="B896" s="4"/>
      <c r="C896" s="3"/>
      <c r="D896" s="7"/>
      <c r="E896" s="3"/>
      <c r="F896" s="4"/>
      <c r="Q896" s="66" t="str">
        <f t="shared" si="29"/>
        <v/>
      </c>
      <c r="R896" s="30" t="str">
        <f t="shared" si="30"/>
        <v/>
      </c>
    </row>
    <row r="897" spans="1:18" ht="15.75" x14ac:dyDescent="0.25">
      <c r="B897" s="1"/>
      <c r="D897" s="22"/>
      <c r="F897" s="1"/>
      <c r="Q897" s="48" t="str">
        <f t="shared" si="29"/>
        <v/>
      </c>
      <c r="R897" s="25" t="str">
        <f t="shared" si="30"/>
        <v/>
      </c>
    </row>
    <row r="898" spans="1:18" ht="15.75" x14ac:dyDescent="0.25">
      <c r="A898" s="3"/>
      <c r="B898" s="4"/>
      <c r="C898" s="3"/>
      <c r="D898" s="7"/>
      <c r="E898" s="3"/>
      <c r="F898" s="4"/>
      <c r="Q898" s="66" t="str">
        <f t="shared" si="29"/>
        <v/>
      </c>
      <c r="R898" s="30" t="str">
        <f t="shared" si="30"/>
        <v/>
      </c>
    </row>
    <row r="899" spans="1:18" ht="15.75" x14ac:dyDescent="0.25">
      <c r="B899" s="1"/>
      <c r="D899" s="22"/>
      <c r="F899" s="1"/>
      <c r="Q899" s="48" t="str">
        <f t="shared" ref="Q899:Q957" si="31">IF(A899=$K$2,D899/60*$N$2,IF(A899=$K$3,D899/60*$N$3,IF(A899=$K$4,D899/60*$N$4,IF(A899=$K$5,D899/60*$N$5,IF(A899=$K$6,D899/60*$N$6,IF(A899=$K$7,D899/60*$N$7,IF(A899=$K$8,D899/60*$N$8,"")))))))</f>
        <v/>
      </c>
      <c r="R899" s="25" t="str">
        <f t="shared" ref="R899:R956" si="32">IF(D899="","",D899/$S$2)</f>
        <v/>
      </c>
    </row>
    <row r="900" spans="1:18" ht="15.75" x14ac:dyDescent="0.25">
      <c r="A900" s="3"/>
      <c r="B900" s="4"/>
      <c r="C900" s="3"/>
      <c r="D900" s="7"/>
      <c r="E900" s="3"/>
      <c r="F900" s="4"/>
      <c r="Q900" s="66" t="str">
        <f t="shared" si="31"/>
        <v/>
      </c>
      <c r="R900" s="30" t="str">
        <f t="shared" si="32"/>
        <v/>
      </c>
    </row>
    <row r="901" spans="1:18" ht="15.75" x14ac:dyDescent="0.25">
      <c r="B901" s="1"/>
      <c r="D901" s="22"/>
      <c r="F901" s="1"/>
      <c r="Q901" s="48" t="str">
        <f t="shared" si="31"/>
        <v/>
      </c>
      <c r="R901" s="25" t="str">
        <f t="shared" si="32"/>
        <v/>
      </c>
    </row>
    <row r="902" spans="1:18" ht="15.75" x14ac:dyDescent="0.25">
      <c r="A902" s="3"/>
      <c r="B902" s="4"/>
      <c r="C902" s="3"/>
      <c r="D902" s="7"/>
      <c r="E902" s="3"/>
      <c r="F902" s="4"/>
      <c r="Q902" s="66" t="str">
        <f t="shared" si="31"/>
        <v/>
      </c>
      <c r="R902" s="30" t="str">
        <f t="shared" si="32"/>
        <v/>
      </c>
    </row>
    <row r="903" spans="1:18" ht="15.75" x14ac:dyDescent="0.25">
      <c r="B903" s="1"/>
      <c r="D903" s="22"/>
      <c r="F903" s="1"/>
      <c r="Q903" s="48" t="str">
        <f t="shared" si="31"/>
        <v/>
      </c>
      <c r="R903" s="25" t="str">
        <f t="shared" si="32"/>
        <v/>
      </c>
    </row>
    <row r="904" spans="1:18" ht="15.75" x14ac:dyDescent="0.25">
      <c r="A904" s="3"/>
      <c r="B904" s="4"/>
      <c r="C904" s="3"/>
      <c r="D904" s="7"/>
      <c r="E904" s="3"/>
      <c r="F904" s="4"/>
      <c r="Q904" s="66" t="str">
        <f t="shared" si="31"/>
        <v/>
      </c>
      <c r="R904" s="30" t="str">
        <f t="shared" si="32"/>
        <v/>
      </c>
    </row>
    <row r="905" spans="1:18" ht="15.75" x14ac:dyDescent="0.25">
      <c r="B905" s="1"/>
      <c r="D905" s="22"/>
      <c r="F905" s="1"/>
      <c r="Q905" s="48" t="str">
        <f t="shared" si="31"/>
        <v/>
      </c>
      <c r="R905" s="25" t="str">
        <f t="shared" si="32"/>
        <v/>
      </c>
    </row>
    <row r="906" spans="1:18" ht="15.75" x14ac:dyDescent="0.25">
      <c r="A906" s="3"/>
      <c r="B906" s="4"/>
      <c r="C906" s="3"/>
      <c r="D906" s="7"/>
      <c r="E906" s="3"/>
      <c r="F906" s="4"/>
      <c r="Q906" s="66" t="str">
        <f t="shared" si="31"/>
        <v/>
      </c>
      <c r="R906" s="30" t="str">
        <f t="shared" si="32"/>
        <v/>
      </c>
    </row>
    <row r="907" spans="1:18" ht="15.75" x14ac:dyDescent="0.25">
      <c r="B907" s="1"/>
      <c r="D907" s="22"/>
      <c r="F907" s="1"/>
      <c r="Q907" s="48" t="str">
        <f t="shared" si="31"/>
        <v/>
      </c>
      <c r="R907" s="25" t="str">
        <f t="shared" si="32"/>
        <v/>
      </c>
    </row>
    <row r="908" spans="1:18" ht="15.75" x14ac:dyDescent="0.25">
      <c r="A908" s="3"/>
      <c r="B908" s="4"/>
      <c r="C908" s="3"/>
      <c r="D908" s="7"/>
      <c r="E908" s="3"/>
      <c r="F908" s="4"/>
      <c r="Q908" s="66" t="str">
        <f t="shared" si="31"/>
        <v/>
      </c>
      <c r="R908" s="30" t="str">
        <f t="shared" si="32"/>
        <v/>
      </c>
    </row>
    <row r="909" spans="1:18" ht="15.75" x14ac:dyDescent="0.25">
      <c r="B909" s="1"/>
      <c r="D909" s="22"/>
      <c r="F909" s="1"/>
      <c r="Q909" s="48" t="str">
        <f t="shared" si="31"/>
        <v/>
      </c>
      <c r="R909" s="25" t="str">
        <f t="shared" si="32"/>
        <v/>
      </c>
    </row>
    <row r="910" spans="1:18" ht="15.75" x14ac:dyDescent="0.25">
      <c r="A910" s="3"/>
      <c r="B910" s="4"/>
      <c r="C910" s="3"/>
      <c r="D910" s="7"/>
      <c r="E910" s="3"/>
      <c r="F910" s="4"/>
      <c r="Q910" s="66" t="str">
        <f t="shared" si="31"/>
        <v/>
      </c>
      <c r="R910" s="30" t="str">
        <f t="shared" si="32"/>
        <v/>
      </c>
    </row>
    <row r="911" spans="1:18" ht="15.75" x14ac:dyDescent="0.25">
      <c r="B911" s="1"/>
      <c r="D911" s="22"/>
      <c r="F911" s="1"/>
      <c r="Q911" s="48" t="str">
        <f t="shared" si="31"/>
        <v/>
      </c>
      <c r="R911" s="25" t="str">
        <f t="shared" si="32"/>
        <v/>
      </c>
    </row>
    <row r="912" spans="1:18" ht="15.75" x14ac:dyDescent="0.25">
      <c r="A912" s="3"/>
      <c r="B912" s="4"/>
      <c r="C912" s="3"/>
      <c r="D912" s="7"/>
      <c r="E912" s="3"/>
      <c r="F912" s="4"/>
      <c r="Q912" s="66" t="str">
        <f t="shared" si="31"/>
        <v/>
      </c>
      <c r="R912" s="30" t="str">
        <f t="shared" si="32"/>
        <v/>
      </c>
    </row>
    <row r="913" spans="1:18" ht="15.75" x14ac:dyDescent="0.25">
      <c r="B913" s="1"/>
      <c r="D913" s="22"/>
      <c r="F913" s="1"/>
      <c r="Q913" s="48" t="str">
        <f t="shared" si="31"/>
        <v/>
      </c>
      <c r="R913" s="25" t="str">
        <f t="shared" si="32"/>
        <v/>
      </c>
    </row>
    <row r="914" spans="1:18" ht="15.75" x14ac:dyDescent="0.25">
      <c r="A914" s="3"/>
      <c r="B914" s="4"/>
      <c r="C914" s="3"/>
      <c r="D914" s="7"/>
      <c r="E914" s="3"/>
      <c r="F914" s="4"/>
      <c r="Q914" s="66" t="str">
        <f t="shared" si="31"/>
        <v/>
      </c>
      <c r="R914" s="30" t="str">
        <f t="shared" si="32"/>
        <v/>
      </c>
    </row>
    <row r="915" spans="1:18" ht="15.75" x14ac:dyDescent="0.25">
      <c r="B915" s="1"/>
      <c r="D915" s="22"/>
      <c r="F915" s="1"/>
      <c r="Q915" s="48" t="str">
        <f t="shared" si="31"/>
        <v/>
      </c>
      <c r="R915" s="25" t="str">
        <f t="shared" si="32"/>
        <v/>
      </c>
    </row>
    <row r="916" spans="1:18" ht="15.75" x14ac:dyDescent="0.25">
      <c r="A916" s="3"/>
      <c r="B916" s="4"/>
      <c r="C916" s="3"/>
      <c r="D916" s="7"/>
      <c r="E916" s="3"/>
      <c r="F916" s="4"/>
      <c r="Q916" s="66" t="str">
        <f t="shared" si="31"/>
        <v/>
      </c>
      <c r="R916" s="30" t="str">
        <f t="shared" si="32"/>
        <v/>
      </c>
    </row>
    <row r="917" spans="1:18" ht="15.75" x14ac:dyDescent="0.25">
      <c r="B917" s="1"/>
      <c r="D917" s="22"/>
      <c r="F917" s="1"/>
      <c r="Q917" s="48" t="str">
        <f t="shared" si="31"/>
        <v/>
      </c>
      <c r="R917" s="25" t="str">
        <f t="shared" si="32"/>
        <v/>
      </c>
    </row>
    <row r="918" spans="1:18" ht="15.75" x14ac:dyDescent="0.25">
      <c r="A918" s="3"/>
      <c r="B918" s="4"/>
      <c r="C918" s="3"/>
      <c r="D918" s="7"/>
      <c r="E918" s="3"/>
      <c r="F918" s="4"/>
      <c r="Q918" s="66" t="str">
        <f t="shared" si="31"/>
        <v/>
      </c>
      <c r="R918" s="30" t="str">
        <f t="shared" si="32"/>
        <v/>
      </c>
    </row>
    <row r="919" spans="1:18" ht="15.75" x14ac:dyDescent="0.25">
      <c r="B919" s="1"/>
      <c r="D919" s="22"/>
      <c r="F919" s="1"/>
      <c r="Q919" s="48" t="str">
        <f t="shared" si="31"/>
        <v/>
      </c>
      <c r="R919" s="25" t="str">
        <f t="shared" si="32"/>
        <v/>
      </c>
    </row>
    <row r="920" spans="1:18" ht="15.75" x14ac:dyDescent="0.25">
      <c r="A920" s="3"/>
      <c r="B920" s="4"/>
      <c r="C920" s="3"/>
      <c r="D920" s="7"/>
      <c r="E920" s="3"/>
      <c r="F920" s="4"/>
      <c r="Q920" s="66" t="str">
        <f t="shared" si="31"/>
        <v/>
      </c>
      <c r="R920" s="30" t="str">
        <f t="shared" si="32"/>
        <v/>
      </c>
    </row>
    <row r="921" spans="1:18" ht="15.75" x14ac:dyDescent="0.25">
      <c r="B921" s="1"/>
      <c r="D921" s="22"/>
      <c r="F921" s="1"/>
      <c r="Q921" s="48" t="str">
        <f t="shared" si="31"/>
        <v/>
      </c>
      <c r="R921" s="25" t="str">
        <f t="shared" si="32"/>
        <v/>
      </c>
    </row>
    <row r="922" spans="1:18" ht="15.75" x14ac:dyDescent="0.25">
      <c r="A922" s="3"/>
      <c r="B922" s="4"/>
      <c r="C922" s="3"/>
      <c r="D922" s="7"/>
      <c r="E922" s="3"/>
      <c r="F922" s="4"/>
      <c r="Q922" s="66" t="str">
        <f t="shared" si="31"/>
        <v/>
      </c>
      <c r="R922" s="30" t="str">
        <f t="shared" si="32"/>
        <v/>
      </c>
    </row>
    <row r="923" spans="1:18" ht="15.75" x14ac:dyDescent="0.25">
      <c r="B923" s="1"/>
      <c r="D923" s="22"/>
      <c r="F923" s="1"/>
      <c r="Q923" s="48" t="str">
        <f t="shared" si="31"/>
        <v/>
      </c>
      <c r="R923" s="25" t="str">
        <f t="shared" si="32"/>
        <v/>
      </c>
    </row>
    <row r="924" spans="1:18" ht="15.75" x14ac:dyDescent="0.25">
      <c r="A924" s="3"/>
      <c r="B924" s="4"/>
      <c r="C924" s="3"/>
      <c r="D924" s="7"/>
      <c r="E924" s="3"/>
      <c r="F924" s="4"/>
      <c r="Q924" s="66" t="str">
        <f t="shared" si="31"/>
        <v/>
      </c>
      <c r="R924" s="30" t="str">
        <f t="shared" si="32"/>
        <v/>
      </c>
    </row>
    <row r="925" spans="1:18" ht="15.75" x14ac:dyDescent="0.25">
      <c r="B925" s="1"/>
      <c r="D925" s="22"/>
      <c r="F925" s="1"/>
      <c r="Q925" s="48" t="str">
        <f t="shared" si="31"/>
        <v/>
      </c>
      <c r="R925" s="25" t="str">
        <f t="shared" si="32"/>
        <v/>
      </c>
    </row>
    <row r="926" spans="1:18" ht="15.75" x14ac:dyDescent="0.25">
      <c r="A926" s="3"/>
      <c r="B926" s="4"/>
      <c r="C926" s="3"/>
      <c r="D926" s="7"/>
      <c r="E926" s="3"/>
      <c r="F926" s="4"/>
      <c r="Q926" s="66" t="str">
        <f t="shared" si="31"/>
        <v/>
      </c>
      <c r="R926" s="30" t="str">
        <f t="shared" si="32"/>
        <v/>
      </c>
    </row>
    <row r="927" spans="1:18" ht="15.75" x14ac:dyDescent="0.25">
      <c r="B927" s="1"/>
      <c r="D927" s="22"/>
      <c r="F927" s="1"/>
      <c r="Q927" s="48" t="str">
        <f t="shared" si="31"/>
        <v/>
      </c>
      <c r="R927" s="25" t="str">
        <f t="shared" si="32"/>
        <v/>
      </c>
    </row>
    <row r="928" spans="1:18" ht="15.75" x14ac:dyDescent="0.25">
      <c r="A928" s="3"/>
      <c r="B928" s="4"/>
      <c r="C928" s="3"/>
      <c r="D928" s="7"/>
      <c r="E928" s="3"/>
      <c r="F928" s="4"/>
      <c r="Q928" s="66" t="str">
        <f t="shared" si="31"/>
        <v/>
      </c>
      <c r="R928" s="30" t="str">
        <f t="shared" si="32"/>
        <v/>
      </c>
    </row>
    <row r="929" spans="1:18" ht="15.75" x14ac:dyDescent="0.25">
      <c r="B929" s="1"/>
      <c r="D929" s="22"/>
      <c r="F929" s="1"/>
      <c r="Q929" s="48" t="str">
        <f t="shared" si="31"/>
        <v/>
      </c>
      <c r="R929" s="25" t="str">
        <f t="shared" si="32"/>
        <v/>
      </c>
    </row>
    <row r="930" spans="1:18" ht="15.75" x14ac:dyDescent="0.25">
      <c r="A930" s="3"/>
      <c r="B930" s="4"/>
      <c r="C930" s="3"/>
      <c r="D930" s="7"/>
      <c r="E930" s="3"/>
      <c r="F930" s="4"/>
      <c r="Q930" s="66" t="str">
        <f t="shared" si="31"/>
        <v/>
      </c>
      <c r="R930" s="30" t="str">
        <f t="shared" si="32"/>
        <v/>
      </c>
    </row>
    <row r="931" spans="1:18" ht="15.75" x14ac:dyDescent="0.25">
      <c r="B931" s="1"/>
      <c r="D931" s="22"/>
      <c r="F931" s="1"/>
      <c r="Q931" s="48" t="str">
        <f t="shared" si="31"/>
        <v/>
      </c>
      <c r="R931" s="25" t="str">
        <f t="shared" si="32"/>
        <v/>
      </c>
    </row>
    <row r="932" spans="1:18" ht="15.75" x14ac:dyDescent="0.25">
      <c r="A932" s="3"/>
      <c r="B932" s="4"/>
      <c r="C932" s="3"/>
      <c r="D932" s="7"/>
      <c r="E932" s="3"/>
      <c r="F932" s="4"/>
      <c r="Q932" s="66" t="str">
        <f t="shared" si="31"/>
        <v/>
      </c>
      <c r="R932" s="30" t="str">
        <f t="shared" si="32"/>
        <v/>
      </c>
    </row>
    <row r="933" spans="1:18" ht="15.75" x14ac:dyDescent="0.25">
      <c r="B933" s="1"/>
      <c r="D933" s="22"/>
      <c r="F933" s="1"/>
      <c r="Q933" s="48" t="str">
        <f t="shared" si="31"/>
        <v/>
      </c>
      <c r="R933" s="25" t="str">
        <f t="shared" si="32"/>
        <v/>
      </c>
    </row>
    <row r="934" spans="1:18" ht="15.75" x14ac:dyDescent="0.25">
      <c r="A934" s="3"/>
      <c r="B934" s="4"/>
      <c r="C934" s="3"/>
      <c r="D934" s="7"/>
      <c r="E934" s="3"/>
      <c r="F934" s="4"/>
      <c r="Q934" s="66" t="str">
        <f t="shared" si="31"/>
        <v/>
      </c>
      <c r="R934" s="30" t="str">
        <f t="shared" si="32"/>
        <v/>
      </c>
    </row>
    <row r="935" spans="1:18" ht="15.75" x14ac:dyDescent="0.25">
      <c r="B935" s="1"/>
      <c r="D935" s="22"/>
      <c r="F935" s="1"/>
      <c r="Q935" s="48" t="str">
        <f t="shared" si="31"/>
        <v/>
      </c>
      <c r="R935" s="25" t="str">
        <f t="shared" si="32"/>
        <v/>
      </c>
    </row>
    <row r="936" spans="1:18" ht="15.75" x14ac:dyDescent="0.25">
      <c r="A936" s="3"/>
      <c r="B936" s="4"/>
      <c r="C936" s="3"/>
      <c r="D936" s="7"/>
      <c r="E936" s="3"/>
      <c r="F936" s="4"/>
      <c r="Q936" s="66" t="str">
        <f t="shared" si="31"/>
        <v/>
      </c>
      <c r="R936" s="30" t="str">
        <f t="shared" si="32"/>
        <v/>
      </c>
    </row>
    <row r="937" spans="1:18" ht="15.75" x14ac:dyDescent="0.25">
      <c r="B937" s="1"/>
      <c r="D937" s="22"/>
      <c r="F937" s="1"/>
      <c r="Q937" s="48" t="str">
        <f t="shared" si="31"/>
        <v/>
      </c>
      <c r="R937" s="25" t="str">
        <f t="shared" si="32"/>
        <v/>
      </c>
    </row>
    <row r="938" spans="1:18" ht="15.75" x14ac:dyDescent="0.25">
      <c r="A938" s="3"/>
      <c r="B938" s="4"/>
      <c r="C938" s="3"/>
      <c r="D938" s="7"/>
      <c r="E938" s="3"/>
      <c r="F938" s="4"/>
      <c r="Q938" s="66" t="str">
        <f t="shared" si="31"/>
        <v/>
      </c>
      <c r="R938" s="30" t="str">
        <f t="shared" si="32"/>
        <v/>
      </c>
    </row>
    <row r="939" spans="1:18" ht="15.75" x14ac:dyDescent="0.25">
      <c r="B939" s="1"/>
      <c r="D939" s="22"/>
      <c r="F939" s="1"/>
      <c r="Q939" s="48" t="str">
        <f t="shared" si="31"/>
        <v/>
      </c>
      <c r="R939" s="25" t="str">
        <f t="shared" si="32"/>
        <v/>
      </c>
    </row>
    <row r="940" spans="1:18" ht="15.75" x14ac:dyDescent="0.25">
      <c r="A940" s="3"/>
      <c r="B940" s="4"/>
      <c r="C940" s="3"/>
      <c r="D940" s="7"/>
      <c r="E940" s="3"/>
      <c r="F940" s="4"/>
      <c r="Q940" s="66" t="str">
        <f t="shared" si="31"/>
        <v/>
      </c>
      <c r="R940" s="30" t="str">
        <f t="shared" si="32"/>
        <v/>
      </c>
    </row>
    <row r="941" spans="1:18" ht="15.75" x14ac:dyDescent="0.25">
      <c r="B941" s="1"/>
      <c r="D941" s="22"/>
      <c r="F941" s="1"/>
      <c r="Q941" s="48" t="str">
        <f t="shared" si="31"/>
        <v/>
      </c>
      <c r="R941" s="25" t="str">
        <f t="shared" si="32"/>
        <v/>
      </c>
    </row>
    <row r="942" spans="1:18" ht="15.75" x14ac:dyDescent="0.25">
      <c r="A942" s="3"/>
      <c r="B942" s="4"/>
      <c r="C942" s="3"/>
      <c r="D942" s="7"/>
      <c r="E942" s="3"/>
      <c r="F942" s="4"/>
      <c r="Q942" s="66" t="str">
        <f t="shared" si="31"/>
        <v/>
      </c>
      <c r="R942" s="30" t="str">
        <f t="shared" si="32"/>
        <v/>
      </c>
    </row>
    <row r="943" spans="1:18" ht="15.75" x14ac:dyDescent="0.25">
      <c r="B943" s="1"/>
      <c r="D943" s="22"/>
      <c r="F943" s="1"/>
      <c r="Q943" s="48" t="str">
        <f t="shared" si="31"/>
        <v/>
      </c>
      <c r="R943" s="25" t="str">
        <f t="shared" si="32"/>
        <v/>
      </c>
    </row>
    <row r="944" spans="1:18" ht="15.75" x14ac:dyDescent="0.25">
      <c r="A944" s="3"/>
      <c r="B944" s="4"/>
      <c r="C944" s="3"/>
      <c r="D944" s="7"/>
      <c r="E944" s="3"/>
      <c r="F944" s="4"/>
      <c r="Q944" s="66" t="str">
        <f t="shared" si="31"/>
        <v/>
      </c>
      <c r="R944" s="30" t="str">
        <f t="shared" si="32"/>
        <v/>
      </c>
    </row>
    <row r="945" spans="1:18" ht="15.75" x14ac:dyDescent="0.25">
      <c r="B945" s="1"/>
      <c r="D945" s="22"/>
      <c r="F945" s="1"/>
      <c r="Q945" s="48" t="str">
        <f t="shared" si="31"/>
        <v/>
      </c>
      <c r="R945" s="25" t="str">
        <f t="shared" si="32"/>
        <v/>
      </c>
    </row>
    <row r="946" spans="1:18" ht="15.75" x14ac:dyDescent="0.25">
      <c r="A946" s="3"/>
      <c r="B946" s="4"/>
      <c r="C946" s="3"/>
      <c r="D946" s="7"/>
      <c r="E946" s="3"/>
      <c r="F946" s="4"/>
      <c r="Q946" s="66" t="str">
        <f t="shared" si="31"/>
        <v/>
      </c>
      <c r="R946" s="30" t="str">
        <f t="shared" si="32"/>
        <v/>
      </c>
    </row>
    <row r="947" spans="1:18" ht="15.75" x14ac:dyDescent="0.25">
      <c r="B947" s="1"/>
      <c r="D947" s="22"/>
      <c r="F947" s="1"/>
      <c r="Q947" s="48" t="str">
        <f t="shared" si="31"/>
        <v/>
      </c>
      <c r="R947" s="25" t="str">
        <f t="shared" si="32"/>
        <v/>
      </c>
    </row>
    <row r="948" spans="1:18" ht="15.75" x14ac:dyDescent="0.25">
      <c r="A948" s="3"/>
      <c r="B948" s="4"/>
      <c r="C948" s="3"/>
      <c r="D948" s="7"/>
      <c r="E948" s="3"/>
      <c r="F948" s="4"/>
      <c r="Q948" s="66" t="str">
        <f t="shared" si="31"/>
        <v/>
      </c>
      <c r="R948" s="30" t="str">
        <f t="shared" si="32"/>
        <v/>
      </c>
    </row>
    <row r="949" spans="1:18" ht="15.75" x14ac:dyDescent="0.25">
      <c r="B949" s="1"/>
      <c r="D949" s="22"/>
      <c r="F949" s="1"/>
      <c r="Q949" s="48" t="str">
        <f t="shared" si="31"/>
        <v/>
      </c>
      <c r="R949" s="25" t="str">
        <f t="shared" si="32"/>
        <v/>
      </c>
    </row>
    <row r="950" spans="1:18" ht="15.75" x14ac:dyDescent="0.25">
      <c r="A950" s="3"/>
      <c r="B950" s="4"/>
      <c r="C950" s="3"/>
      <c r="D950" s="7"/>
      <c r="E950" s="3"/>
      <c r="F950" s="4"/>
      <c r="Q950" s="66" t="str">
        <f t="shared" si="31"/>
        <v/>
      </c>
      <c r="R950" s="30" t="str">
        <f t="shared" si="32"/>
        <v/>
      </c>
    </row>
    <row r="951" spans="1:18" ht="15.75" x14ac:dyDescent="0.25">
      <c r="B951" s="1"/>
      <c r="D951" s="22"/>
      <c r="F951" s="1"/>
      <c r="Q951" s="48" t="str">
        <f t="shared" si="31"/>
        <v/>
      </c>
      <c r="R951" s="25" t="str">
        <f t="shared" si="32"/>
        <v/>
      </c>
    </row>
    <row r="952" spans="1:18" ht="15.75" x14ac:dyDescent="0.25">
      <c r="A952" s="3"/>
      <c r="B952" s="4"/>
      <c r="C952" s="3"/>
      <c r="D952" s="7"/>
      <c r="E952" s="3"/>
      <c r="F952" s="4"/>
      <c r="Q952" s="66" t="str">
        <f t="shared" si="31"/>
        <v/>
      </c>
      <c r="R952" s="30" t="str">
        <f t="shared" si="32"/>
        <v/>
      </c>
    </row>
    <row r="953" spans="1:18" ht="15.75" x14ac:dyDescent="0.25">
      <c r="B953" s="1"/>
      <c r="D953" s="22"/>
      <c r="F953" s="1"/>
      <c r="Q953" s="48" t="str">
        <f t="shared" si="31"/>
        <v/>
      </c>
      <c r="R953" s="25" t="str">
        <f t="shared" si="32"/>
        <v/>
      </c>
    </row>
    <row r="954" spans="1:18" ht="15.75" x14ac:dyDescent="0.25">
      <c r="A954" s="3"/>
      <c r="B954" s="4"/>
      <c r="C954" s="3"/>
      <c r="D954" s="7"/>
      <c r="E954" s="3"/>
      <c r="F954" s="4"/>
      <c r="Q954" s="66" t="str">
        <f t="shared" si="31"/>
        <v/>
      </c>
      <c r="R954" s="30" t="str">
        <f t="shared" si="32"/>
        <v/>
      </c>
    </row>
    <row r="955" spans="1:18" ht="15.75" x14ac:dyDescent="0.25">
      <c r="B955" s="1"/>
      <c r="D955" s="22"/>
      <c r="F955" s="1"/>
      <c r="Q955" s="48" t="str">
        <f t="shared" si="31"/>
        <v/>
      </c>
      <c r="R955" s="25" t="str">
        <f t="shared" si="32"/>
        <v/>
      </c>
    </row>
    <row r="956" spans="1:18" ht="15.75" x14ac:dyDescent="0.25">
      <c r="A956" s="3"/>
      <c r="B956" s="4"/>
      <c r="C956" s="3"/>
      <c r="D956" s="7"/>
      <c r="E956" s="3"/>
      <c r="F956" s="4"/>
      <c r="Q956" s="66" t="str">
        <f t="shared" si="31"/>
        <v/>
      </c>
      <c r="R956" s="30" t="str">
        <f t="shared" si="32"/>
        <v/>
      </c>
    </row>
    <row r="957" spans="1:18" ht="15.75" x14ac:dyDescent="0.25">
      <c r="B957" s="1"/>
      <c r="D957" s="22"/>
      <c r="F957" s="1"/>
      <c r="Q957" s="48" t="str">
        <f t="shared" si="31"/>
        <v/>
      </c>
      <c r="R957" s="23" t="str">
        <f t="shared" ref="R957" si="33">IF(D957="","",D957/$S$2)</f>
        <v/>
      </c>
    </row>
    <row r="958" spans="1:18" ht="15.75" x14ac:dyDescent="0.25">
      <c r="A958" s="3"/>
      <c r="B958" s="4"/>
      <c r="C958" s="3"/>
      <c r="D958" s="7"/>
      <c r="E958" s="3"/>
      <c r="F958" s="4"/>
    </row>
    <row r="959" spans="1:18" ht="15.75" x14ac:dyDescent="0.25">
      <c r="B959" s="1"/>
      <c r="D959" s="22"/>
      <c r="F959" s="1"/>
    </row>
    <row r="960" spans="1:18" ht="15.75" x14ac:dyDescent="0.25">
      <c r="A960" s="3"/>
      <c r="B960" s="4"/>
      <c r="C960" s="3"/>
      <c r="D960" s="7"/>
      <c r="E960" s="3"/>
      <c r="F960" s="4"/>
    </row>
    <row r="1443" spans="6:6" x14ac:dyDescent="0.25">
      <c r="F1443" s="1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pageSetUpPr fitToPage="1"/>
  </sheetPr>
  <dimension ref="A1:K662"/>
  <sheetViews>
    <sheetView showGridLines="0" zoomScale="115" zoomScaleNormal="115" workbookViewId="0">
      <selection activeCell="A4" sqref="A4"/>
    </sheetView>
  </sheetViews>
  <sheetFormatPr defaultColWidth="0" defaultRowHeight="15" zeroHeight="1" x14ac:dyDescent="0.25"/>
  <cols>
    <col min="1" max="1" width="18.42578125" style="3" bestFit="1" customWidth="1"/>
    <col min="2" max="2" width="34.5703125" style="3" bestFit="1" customWidth="1"/>
    <col min="3" max="10" width="9" style="3" customWidth="1"/>
    <col min="11" max="11" width="8.28515625" style="3" customWidth="1"/>
    <col min="12" max="16384" width="9" hidden="1"/>
  </cols>
  <sheetData>
    <row r="1" spans="1:1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1" x14ac:dyDescent="0.25">
      <c r="A2" s="45" t="s">
        <v>2</v>
      </c>
      <c r="B2" s="45" t="s">
        <v>16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 t="s">
        <v>13</v>
      </c>
      <c r="B4" s="45" t="s">
        <v>15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6" t="s">
        <v>17</v>
      </c>
      <c r="B5" s="45"/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6" t="s">
        <v>68</v>
      </c>
      <c r="B6" s="45">
        <v>310</v>
      </c>
      <c r="C6" s="45"/>
      <c r="D6" s="45"/>
      <c r="E6" s="45"/>
      <c r="F6" s="45"/>
      <c r="G6" s="45"/>
      <c r="H6" s="45"/>
      <c r="I6" s="45"/>
      <c r="J6" s="45"/>
      <c r="K6" s="45"/>
    </row>
    <row r="7" spans="1:11" x14ac:dyDescent="0.25">
      <c r="A7" s="46" t="s">
        <v>66</v>
      </c>
      <c r="B7" s="45">
        <v>210</v>
      </c>
      <c r="C7" s="45"/>
      <c r="D7" s="45"/>
      <c r="E7" s="45"/>
      <c r="F7" s="45"/>
      <c r="G7" s="45"/>
      <c r="H7" s="45"/>
      <c r="I7" s="45"/>
      <c r="J7" s="45"/>
      <c r="K7" s="45"/>
    </row>
    <row r="8" spans="1:11" x14ac:dyDescent="0.25">
      <c r="A8" s="46" t="s">
        <v>71</v>
      </c>
      <c r="B8" s="45">
        <v>410</v>
      </c>
      <c r="C8" s="45"/>
      <c r="D8" s="45"/>
      <c r="E8" s="45"/>
      <c r="F8" s="45"/>
      <c r="G8" s="45"/>
      <c r="H8" s="45"/>
      <c r="I8" s="45"/>
      <c r="J8" s="45"/>
      <c r="K8" s="45"/>
    </row>
    <row r="9" spans="1:11" x14ac:dyDescent="0.25">
      <c r="A9" s="46" t="s">
        <v>70</v>
      </c>
      <c r="B9" s="45">
        <v>890</v>
      </c>
      <c r="C9" s="45"/>
      <c r="D9" s="45"/>
      <c r="E9" s="45"/>
      <c r="F9" s="45"/>
      <c r="G9" s="45"/>
      <c r="H9" s="45"/>
      <c r="I9" s="45"/>
      <c r="J9" s="45"/>
      <c r="K9" s="45"/>
    </row>
    <row r="10" spans="1:11" x14ac:dyDescent="0.25">
      <c r="A10" s="46" t="s">
        <v>67</v>
      </c>
      <c r="B10" s="45">
        <v>550</v>
      </c>
      <c r="C10" s="45"/>
      <c r="D10" s="45"/>
      <c r="E10" s="45"/>
      <c r="F10" s="45"/>
      <c r="G10" s="45"/>
      <c r="H10" s="45"/>
      <c r="I10" s="45"/>
      <c r="J10" s="45"/>
      <c r="K10" s="45"/>
    </row>
    <row r="11" spans="1:11" x14ac:dyDescent="0.25">
      <c r="A11" s="46" t="s">
        <v>69</v>
      </c>
      <c r="B11" s="45">
        <v>450</v>
      </c>
      <c r="C11" s="45"/>
      <c r="D11" s="45"/>
      <c r="E11" s="45"/>
      <c r="F11" s="45"/>
      <c r="G11" s="45"/>
      <c r="H11" s="45"/>
      <c r="I11" s="45"/>
      <c r="J11" s="45"/>
      <c r="K11" s="45"/>
    </row>
    <row r="12" spans="1:11" x14ac:dyDescent="0.25">
      <c r="A12" s="46" t="s">
        <v>78</v>
      </c>
      <c r="B12" s="45">
        <v>490</v>
      </c>
      <c r="C12" s="45"/>
      <c r="D12" s="45"/>
      <c r="E12" s="45"/>
      <c r="F12" s="45"/>
      <c r="G12" s="45"/>
      <c r="H12" s="45"/>
      <c r="I12" s="45"/>
      <c r="J12" s="45"/>
      <c r="K12" s="45"/>
    </row>
    <row r="13" spans="1:11" x14ac:dyDescent="0.25">
      <c r="A13" s="46" t="s">
        <v>14</v>
      </c>
      <c r="B13" s="45">
        <v>3310</v>
      </c>
      <c r="C13" s="45"/>
      <c r="D13" s="45"/>
      <c r="E13" s="45"/>
      <c r="F13" s="45"/>
      <c r="G13" s="45"/>
      <c r="H13" s="45"/>
      <c r="I13" s="45"/>
      <c r="J13" s="45"/>
      <c r="K13" s="45"/>
    </row>
    <row r="14" spans="1:1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</row>
    <row r="15" spans="1:11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</row>
    <row r="16" spans="1:11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</row>
    <row r="17" spans="1:11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</row>
    <row r="18" spans="1:11" ht="7.5" customHeight="1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</row>
    <row r="19" spans="1:1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</row>
    <row r="20" spans="1:11" x14ac:dyDescent="0.25">
      <c r="A20" s="42" t="s">
        <v>0</v>
      </c>
      <c r="B20" s="42" t="s">
        <v>16</v>
      </c>
      <c r="C20" s="42"/>
      <c r="D20" s="42"/>
      <c r="E20" s="42"/>
      <c r="F20" s="42"/>
      <c r="G20" s="42"/>
      <c r="H20" s="42"/>
      <c r="I20" s="42"/>
      <c r="J20" s="42"/>
      <c r="K20" s="42"/>
    </row>
    <row r="21" spans="1:1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 x14ac:dyDescent="0.25">
      <c r="A22" s="42" t="s">
        <v>13</v>
      </c>
      <c r="B22" s="42" t="s">
        <v>40</v>
      </c>
      <c r="C22" s="42"/>
      <c r="D22" s="42"/>
      <c r="E22" s="42"/>
      <c r="F22" s="42"/>
      <c r="G22" s="42"/>
      <c r="H22" s="42"/>
      <c r="I22" s="42"/>
      <c r="J22" s="42"/>
      <c r="K22" s="42"/>
    </row>
    <row r="23" spans="1:11" x14ac:dyDescent="0.25">
      <c r="A23" s="43" t="s">
        <v>47</v>
      </c>
      <c r="B23" s="44">
        <v>174.16666666666669</v>
      </c>
      <c r="C23" s="42"/>
      <c r="D23" s="42"/>
      <c r="E23" s="42"/>
      <c r="F23" s="42"/>
      <c r="G23" s="42"/>
      <c r="H23" s="42"/>
      <c r="I23" s="42"/>
      <c r="J23" s="42"/>
      <c r="K23" s="42"/>
    </row>
    <row r="24" spans="1:11" x14ac:dyDescent="0.25">
      <c r="A24" s="43" t="s">
        <v>45</v>
      </c>
      <c r="B24" s="44">
        <v>179.09090909090907</v>
      </c>
      <c r="C24" s="42"/>
      <c r="D24" s="42"/>
      <c r="E24" s="42"/>
      <c r="F24" s="42"/>
      <c r="G24" s="42"/>
      <c r="H24" s="42"/>
      <c r="I24" s="42"/>
      <c r="J24" s="42"/>
      <c r="K24" s="42"/>
    </row>
    <row r="25" spans="1:11" x14ac:dyDescent="0.25">
      <c r="A25" s="43" t="s">
        <v>48</v>
      </c>
      <c r="B25" s="44">
        <v>156.96969696969697</v>
      </c>
      <c r="C25" s="42"/>
      <c r="D25" s="42"/>
      <c r="E25" s="42"/>
      <c r="F25" s="42"/>
      <c r="G25" s="42"/>
      <c r="H25" s="42"/>
      <c r="I25" s="42"/>
      <c r="J25" s="42"/>
      <c r="K25" s="42"/>
    </row>
    <row r="26" spans="1:11" x14ac:dyDescent="0.25">
      <c r="A26" s="43" t="s">
        <v>49</v>
      </c>
      <c r="B26" s="44">
        <v>96.287878787878782</v>
      </c>
      <c r="C26" s="42"/>
      <c r="D26" s="42"/>
      <c r="E26" s="42"/>
      <c r="F26" s="42"/>
      <c r="G26" s="42"/>
      <c r="H26" s="42"/>
      <c r="I26" s="42"/>
      <c r="J26" s="42"/>
      <c r="K26" s="42"/>
    </row>
    <row r="27" spans="1:11" x14ac:dyDescent="0.25">
      <c r="A27" s="43" t="s">
        <v>46</v>
      </c>
      <c r="B27" s="44">
        <v>189.77272727272725</v>
      </c>
      <c r="C27" s="42"/>
      <c r="D27" s="42"/>
      <c r="E27" s="42"/>
      <c r="F27" s="42"/>
      <c r="G27" s="42"/>
      <c r="H27" s="42"/>
      <c r="I27" s="42"/>
      <c r="J27" s="42"/>
      <c r="K27" s="42"/>
    </row>
    <row r="28" spans="1:11" x14ac:dyDescent="0.25">
      <c r="A28" s="42" t="s">
        <v>14</v>
      </c>
      <c r="B28" s="44">
        <v>796.28787878787875</v>
      </c>
      <c r="C28" s="42"/>
      <c r="D28" s="42"/>
      <c r="E28" s="42"/>
      <c r="F28" s="42"/>
      <c r="G28" s="42"/>
      <c r="H28" s="42"/>
      <c r="I28" s="42"/>
      <c r="J28" s="42"/>
      <c r="K28" s="42"/>
    </row>
    <row r="29" spans="1:11" x14ac:dyDescent="0.25">
      <c r="A29"/>
      <c r="B29"/>
      <c r="C29" s="42"/>
      <c r="D29" s="42"/>
      <c r="E29" s="42"/>
      <c r="F29" s="42"/>
      <c r="G29" s="42"/>
      <c r="H29" s="42"/>
      <c r="I29" s="42"/>
      <c r="J29" s="42"/>
      <c r="K29" s="42"/>
    </row>
    <row r="30" spans="1:11" x14ac:dyDescent="0.25">
      <c r="A30"/>
      <c r="B30"/>
      <c r="C30" s="42"/>
      <c r="D30" s="42"/>
      <c r="E30" s="42"/>
      <c r="F30" s="42"/>
      <c r="G30" s="42"/>
      <c r="H30" s="42"/>
      <c r="I30" s="42"/>
      <c r="J30" s="42"/>
      <c r="K30" s="42"/>
    </row>
    <row r="31" spans="1:11" x14ac:dyDescent="0.25">
      <c r="A31"/>
      <c r="B31"/>
      <c r="C31" s="42"/>
      <c r="D31" s="42"/>
      <c r="E31" s="42"/>
      <c r="F31" s="42"/>
      <c r="G31" s="42"/>
      <c r="H31" s="42"/>
      <c r="I31" s="42"/>
      <c r="J31" s="42"/>
      <c r="K31" s="42"/>
    </row>
    <row r="32" spans="1:11" x14ac:dyDescent="0.25">
      <c r="A32"/>
      <c r="B32"/>
      <c r="C32" s="42"/>
      <c r="D32" s="42"/>
      <c r="E32" s="42"/>
      <c r="F32" s="42"/>
      <c r="G32" s="42"/>
      <c r="H32" s="42"/>
      <c r="I32" s="42"/>
      <c r="J32" s="42"/>
      <c r="K32" s="42"/>
    </row>
    <row r="33" spans="1:11" x14ac:dyDescent="0.25">
      <c r="A33"/>
      <c r="B33"/>
      <c r="C33" s="42"/>
      <c r="D33" s="42"/>
      <c r="E33" s="42"/>
      <c r="F33" s="42"/>
      <c r="G33" s="42"/>
      <c r="H33" s="42"/>
      <c r="I33" s="42"/>
      <c r="J33" s="42"/>
      <c r="K33" s="42"/>
    </row>
    <row r="34" spans="1:11" x14ac:dyDescent="0.25">
      <c r="A34"/>
      <c r="B34"/>
      <c r="C34" s="42"/>
      <c r="D34" s="42"/>
      <c r="E34" s="42"/>
      <c r="F34" s="42"/>
      <c r="G34" s="42"/>
      <c r="H34" s="42"/>
      <c r="I34" s="42"/>
      <c r="J34" s="42"/>
      <c r="K34" s="42"/>
    </row>
    <row r="35" spans="1:11" x14ac:dyDescent="0.25">
      <c r="A35"/>
      <c r="B35"/>
      <c r="C35" s="42"/>
      <c r="D35" s="42"/>
      <c r="E35" s="42"/>
      <c r="F35" s="42"/>
      <c r="G35" s="42"/>
      <c r="H35" s="42"/>
      <c r="I35" s="42"/>
      <c r="J35" s="42"/>
      <c r="K35" s="42"/>
    </row>
    <row r="36" spans="1:11" x14ac:dyDescent="0.25">
      <c r="A36"/>
      <c r="B36"/>
      <c r="C36" s="42"/>
      <c r="D36" s="42"/>
      <c r="E36" s="42"/>
      <c r="F36" s="42"/>
      <c r="G36" s="42"/>
      <c r="H36" s="42"/>
      <c r="I36" s="42"/>
      <c r="J36" s="42"/>
      <c r="K36" s="42"/>
    </row>
    <row r="37" spans="1:11" x14ac:dyDescent="0.25">
      <c r="A37"/>
      <c r="B37"/>
      <c r="C37" s="42"/>
      <c r="D37" s="42"/>
      <c r="E37" s="42"/>
      <c r="F37" s="42"/>
      <c r="G37" s="42"/>
      <c r="H37" s="42"/>
      <c r="I37" s="42"/>
      <c r="J37" s="42"/>
      <c r="K37" s="42"/>
    </row>
    <row r="38" spans="1:11" x14ac:dyDescent="0.25">
      <c r="A38"/>
      <c r="B38"/>
      <c r="C38" s="42"/>
      <c r="D38" s="42"/>
      <c r="E38" s="42"/>
      <c r="F38" s="42"/>
      <c r="G38" s="42"/>
      <c r="H38" s="42"/>
      <c r="I38" s="42"/>
      <c r="J38" s="42"/>
      <c r="K38" s="42"/>
    </row>
    <row r="39" spans="1:11" x14ac:dyDescent="0.25">
      <c r="A39"/>
      <c r="B39"/>
      <c r="C39" s="42"/>
      <c r="D39" s="42"/>
      <c r="E39" s="42"/>
      <c r="F39" s="42"/>
      <c r="G39" s="42"/>
      <c r="H39" s="42"/>
      <c r="I39" s="42"/>
      <c r="J39" s="42"/>
      <c r="K39" s="42"/>
    </row>
    <row r="40" spans="1:11" x14ac:dyDescent="0.25">
      <c r="A40"/>
      <c r="B40"/>
      <c r="C40" s="42"/>
      <c r="D40" s="42"/>
      <c r="E40" s="42"/>
      <c r="F40" s="42"/>
      <c r="G40" s="42"/>
      <c r="H40" s="42"/>
      <c r="I40" s="42"/>
      <c r="J40" s="42"/>
      <c r="K40" s="42"/>
    </row>
    <row r="41" spans="1:11" x14ac:dyDescent="0.25">
      <c r="A41"/>
      <c r="B41"/>
      <c r="C41" s="42"/>
      <c r="D41" s="42"/>
      <c r="E41" s="42"/>
      <c r="F41" s="42"/>
      <c r="G41" s="42"/>
      <c r="H41" s="42"/>
      <c r="I41" s="42"/>
      <c r="J41" s="42"/>
      <c r="K41" s="42"/>
    </row>
    <row r="42" spans="1:11" x14ac:dyDescent="0.25">
      <c r="A42"/>
      <c r="B42"/>
      <c r="C42" s="42"/>
      <c r="D42" s="42"/>
      <c r="E42" s="42"/>
      <c r="F42" s="42"/>
      <c r="G42" s="42"/>
      <c r="H42" s="42"/>
      <c r="I42" s="42"/>
      <c r="J42" s="42"/>
      <c r="K42" s="42"/>
    </row>
    <row r="43" spans="1:11" x14ac:dyDescent="0.25">
      <c r="A43"/>
      <c r="B43"/>
      <c r="C43" s="42"/>
      <c r="D43" s="42"/>
      <c r="E43" s="42"/>
      <c r="F43" s="42"/>
      <c r="G43" s="42"/>
      <c r="H43" s="42"/>
      <c r="I43" s="42"/>
      <c r="J43" s="42"/>
      <c r="K43" s="42"/>
    </row>
    <row r="44" spans="1:11" x14ac:dyDescent="0.25">
      <c r="A44"/>
      <c r="B44"/>
      <c r="C44" s="42"/>
      <c r="D44" s="42"/>
      <c r="E44" s="42"/>
      <c r="F44" s="42"/>
      <c r="G44" s="42"/>
      <c r="H44" s="42"/>
      <c r="I44" s="42"/>
      <c r="J44" s="42"/>
      <c r="K44" s="42"/>
    </row>
    <row r="45" spans="1:11" x14ac:dyDescent="0.25">
      <c r="A45"/>
      <c r="B45"/>
      <c r="C45" s="42"/>
      <c r="D45" s="42"/>
      <c r="E45" s="42"/>
      <c r="F45" s="42"/>
      <c r="G45" s="42"/>
      <c r="H45" s="42"/>
      <c r="I45" s="42"/>
      <c r="J45" s="42"/>
      <c r="K45" s="42"/>
    </row>
    <row r="46" spans="1:11" x14ac:dyDescent="0.25">
      <c r="A46"/>
      <c r="B46"/>
      <c r="C46" s="42"/>
      <c r="D46" s="42"/>
      <c r="E46" s="42"/>
      <c r="F46" s="42"/>
      <c r="G46" s="42"/>
      <c r="H46" s="42"/>
      <c r="I46" s="42"/>
      <c r="J46" s="42"/>
      <c r="K46" s="42"/>
    </row>
    <row r="47" spans="1:11" x14ac:dyDescent="0.25">
      <c r="A47"/>
      <c r="B47"/>
      <c r="C47" s="42"/>
      <c r="D47" s="42"/>
      <c r="E47" s="42"/>
      <c r="F47" s="42"/>
      <c r="G47" s="42"/>
      <c r="H47" s="42"/>
      <c r="I47" s="42"/>
      <c r="J47" s="42"/>
      <c r="K47" s="42"/>
    </row>
    <row r="48" spans="1:11" x14ac:dyDescent="0.25">
      <c r="A48"/>
      <c r="B48"/>
      <c r="C48" s="42"/>
      <c r="D48" s="42"/>
      <c r="E48" s="42"/>
      <c r="F48" s="42"/>
      <c r="G48" s="42"/>
      <c r="H48" s="42"/>
      <c r="I48" s="42"/>
      <c r="J48" s="42"/>
      <c r="K48" s="42"/>
    </row>
    <row r="49" spans="1:11" x14ac:dyDescent="0.25">
      <c r="A49"/>
      <c r="B49"/>
      <c r="C49" s="42"/>
      <c r="D49" s="42"/>
      <c r="E49" s="42"/>
      <c r="F49" s="42"/>
      <c r="G49" s="42"/>
      <c r="H49" s="42"/>
      <c r="I49" s="42"/>
      <c r="J49" s="42"/>
      <c r="K49" s="42"/>
    </row>
    <row r="50" spans="1:11" x14ac:dyDescent="0.25">
      <c r="A50"/>
      <c r="B50"/>
      <c r="C50" s="42"/>
      <c r="D50" s="42"/>
      <c r="E50" s="42"/>
      <c r="F50" s="42"/>
      <c r="G50" s="42"/>
      <c r="H50" s="42"/>
      <c r="I50" s="42"/>
      <c r="J50" s="42"/>
      <c r="K50" s="42"/>
    </row>
    <row r="51" spans="1:11" x14ac:dyDescent="0.25">
      <c r="A51"/>
      <c r="B51"/>
      <c r="C51" s="42"/>
      <c r="D51" s="42"/>
      <c r="E51" s="42"/>
      <c r="F51" s="42"/>
      <c r="G51" s="42"/>
      <c r="H51" s="42"/>
      <c r="I51" s="42"/>
      <c r="J51" s="42"/>
      <c r="K51" s="42"/>
    </row>
    <row r="52" spans="1:11" x14ac:dyDescent="0.25">
      <c r="A52"/>
      <c r="B52"/>
      <c r="C52" s="42"/>
      <c r="D52" s="42"/>
      <c r="E52" s="42"/>
      <c r="F52" s="42"/>
      <c r="G52" s="42"/>
      <c r="H52" s="42"/>
      <c r="I52" s="42"/>
      <c r="J52" s="42"/>
      <c r="K52" s="42"/>
    </row>
    <row r="53" spans="1:11" x14ac:dyDescent="0.25">
      <c r="A53"/>
      <c r="B53"/>
      <c r="C53" s="42"/>
      <c r="D53" s="42"/>
      <c r="E53" s="42"/>
      <c r="F53" s="42"/>
      <c r="G53" s="42"/>
      <c r="H53" s="42"/>
      <c r="I53" s="42"/>
      <c r="J53" s="42"/>
      <c r="K53" s="42"/>
    </row>
    <row r="54" spans="1:11" x14ac:dyDescent="0.25">
      <c r="A54"/>
      <c r="B54"/>
      <c r="C54" s="42"/>
      <c r="D54" s="42"/>
      <c r="E54" s="42"/>
      <c r="F54" s="42"/>
      <c r="G54" s="42"/>
      <c r="H54" s="42"/>
      <c r="I54" s="42"/>
      <c r="J54" s="42"/>
      <c r="K54" s="42"/>
    </row>
    <row r="55" spans="1:11" x14ac:dyDescent="0.25">
      <c r="A55"/>
      <c r="B55"/>
      <c r="C55" s="42"/>
      <c r="D55" s="42"/>
      <c r="E55" s="42"/>
      <c r="F55" s="42"/>
      <c r="G55" s="42"/>
      <c r="H55" s="42"/>
      <c r="I55" s="42"/>
      <c r="J55" s="42"/>
      <c r="K55" s="42"/>
    </row>
    <row r="56" spans="1:11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</row>
    <row r="57" spans="1:11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</row>
    <row r="58" spans="1:11" ht="7.5" customHeight="1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</row>
    <row r="59" spans="1:11" x14ac:dyDescent="0.2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</row>
    <row r="60" spans="1:11" x14ac:dyDescent="0.25">
      <c r="A60" s="40" t="s">
        <v>2</v>
      </c>
      <c r="B60" s="40" t="s">
        <v>16</v>
      </c>
      <c r="C60" s="40"/>
      <c r="D60" s="40"/>
      <c r="E60" s="40"/>
      <c r="F60" s="40"/>
      <c r="G60" s="40"/>
      <c r="H60" s="40"/>
      <c r="I60" s="40"/>
      <c r="J60" s="40"/>
      <c r="K60" s="40"/>
    </row>
    <row r="61" spans="1:11" x14ac:dyDescent="0.2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</row>
    <row r="62" spans="1:11" x14ac:dyDescent="0.25">
      <c r="A62" s="40" t="s">
        <v>13</v>
      </c>
      <c r="B62" s="40" t="s">
        <v>43</v>
      </c>
      <c r="C62" s="40"/>
      <c r="D62" s="40"/>
      <c r="E62" s="40"/>
      <c r="F62" s="40"/>
      <c r="G62" s="40"/>
      <c r="H62" s="40"/>
      <c r="I62" s="40"/>
      <c r="J62" s="40"/>
      <c r="K62" s="40"/>
    </row>
    <row r="63" spans="1:11" x14ac:dyDescent="0.25">
      <c r="A63" s="41" t="s">
        <v>17</v>
      </c>
      <c r="B63" s="59">
        <v>0</v>
      </c>
      <c r="C63" s="40"/>
      <c r="D63" s="40"/>
      <c r="E63" s="40"/>
      <c r="F63" s="40"/>
      <c r="G63" s="40"/>
      <c r="H63" s="40"/>
      <c r="I63" s="40"/>
      <c r="J63" s="40"/>
      <c r="K63" s="40"/>
    </row>
    <row r="64" spans="1:11" x14ac:dyDescent="0.25">
      <c r="A64" s="41" t="s">
        <v>68</v>
      </c>
      <c r="B64" s="59">
        <v>9.3655589123867081E-2</v>
      </c>
      <c r="C64" s="40"/>
      <c r="D64" s="40"/>
      <c r="E64" s="40"/>
      <c r="F64" s="40"/>
      <c r="G64" s="40"/>
      <c r="H64" s="40"/>
      <c r="I64" s="40"/>
      <c r="J64" s="40"/>
      <c r="K64" s="40"/>
    </row>
    <row r="65" spans="1:11" x14ac:dyDescent="0.25">
      <c r="A65" s="41" t="s">
        <v>66</v>
      </c>
      <c r="B65" s="59">
        <v>6.3444108761329304E-2</v>
      </c>
      <c r="C65" s="40"/>
      <c r="D65" s="40"/>
      <c r="E65" s="40"/>
      <c r="F65" s="40"/>
      <c r="G65" s="40"/>
      <c r="H65" s="40"/>
      <c r="I65" s="40"/>
      <c r="J65" s="40"/>
      <c r="K65" s="40"/>
    </row>
    <row r="66" spans="1:11" x14ac:dyDescent="0.25">
      <c r="A66" s="41" t="s">
        <v>71</v>
      </c>
      <c r="B66" s="59">
        <v>0.12386706948640484</v>
      </c>
      <c r="C66" s="40"/>
      <c r="D66" s="40"/>
      <c r="E66" s="40"/>
      <c r="F66" s="40"/>
      <c r="G66" s="40"/>
      <c r="H66" s="40"/>
      <c r="I66" s="40"/>
      <c r="J66" s="40"/>
      <c r="K66" s="40"/>
    </row>
    <row r="67" spans="1:11" x14ac:dyDescent="0.25">
      <c r="A67" s="41" t="s">
        <v>70</v>
      </c>
      <c r="B67" s="59">
        <v>0.26888217522658614</v>
      </c>
      <c r="C67" s="40"/>
      <c r="D67" s="40"/>
      <c r="E67" s="40"/>
      <c r="F67" s="40"/>
      <c r="G67" s="40"/>
      <c r="H67" s="40"/>
      <c r="I67" s="40"/>
      <c r="J67" s="40"/>
      <c r="K67" s="40"/>
    </row>
    <row r="68" spans="1:11" x14ac:dyDescent="0.25">
      <c r="A68" s="41" t="s">
        <v>67</v>
      </c>
      <c r="B68" s="59">
        <v>0.16616314199395771</v>
      </c>
      <c r="C68" s="40"/>
      <c r="D68" s="40"/>
      <c r="E68" s="40"/>
      <c r="F68" s="40"/>
      <c r="G68" s="40"/>
      <c r="H68" s="40"/>
      <c r="I68" s="40"/>
      <c r="J68" s="40"/>
      <c r="K68" s="40"/>
    </row>
    <row r="69" spans="1:11" x14ac:dyDescent="0.25">
      <c r="A69" s="41" t="s">
        <v>69</v>
      </c>
      <c r="B69" s="59">
        <v>0.13595166163141992</v>
      </c>
      <c r="C69" s="40"/>
      <c r="D69" s="40"/>
      <c r="E69" s="40"/>
      <c r="F69" s="40"/>
      <c r="G69" s="40"/>
      <c r="H69" s="40"/>
      <c r="I69" s="40"/>
      <c r="J69" s="40"/>
      <c r="K69" s="40"/>
    </row>
    <row r="70" spans="1:11" x14ac:dyDescent="0.25">
      <c r="A70" s="41" t="s">
        <v>78</v>
      </c>
      <c r="B70" s="59">
        <v>0.14803625377643506</v>
      </c>
      <c r="C70" s="40"/>
      <c r="D70" s="40"/>
      <c r="E70" s="40"/>
      <c r="F70" s="40"/>
      <c r="G70" s="40"/>
      <c r="H70" s="40"/>
      <c r="I70" s="40"/>
      <c r="J70" s="40"/>
      <c r="K70" s="40"/>
    </row>
    <row r="71" spans="1:11" x14ac:dyDescent="0.25">
      <c r="A71" s="41" t="s">
        <v>14</v>
      </c>
      <c r="B71" s="59">
        <v>1.0000000000000002</v>
      </c>
      <c r="C71" s="40"/>
      <c r="D71" s="40"/>
      <c r="E71" s="40"/>
      <c r="F71" s="40"/>
      <c r="G71" s="40"/>
      <c r="H71" s="40"/>
      <c r="I71" s="40"/>
      <c r="J71" s="40"/>
      <c r="K71" s="40"/>
    </row>
    <row r="72" spans="1:11" x14ac:dyDescent="0.2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</row>
    <row r="73" spans="1:11" x14ac:dyDescent="0.2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</row>
    <row r="74" spans="1:11" x14ac:dyDescent="0.2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</row>
    <row r="75" spans="1:11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</row>
    <row r="76" spans="1:11" x14ac:dyDescent="0.2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</row>
    <row r="77" spans="1:11" x14ac:dyDescent="0.2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</row>
    <row r="78" spans="1:11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</row>
    <row r="79" spans="1:11" x14ac:dyDescent="0.2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</row>
    <row r="80" spans="1:11" ht="7.5" customHeight="1" x14ac:dyDescent="0.2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</row>
    <row r="81" spans="1:11" hidden="1" x14ac:dyDescent="0.2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</row>
    <row r="82" spans="1:11" hidden="1" x14ac:dyDescent="0.2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</row>
    <row r="83" spans="1:11" hidden="1" x14ac:dyDescent="0.2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</row>
    <row r="84" spans="1:11" hidden="1" x14ac:dyDescent="0.2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</row>
    <row r="85" spans="1:11" hidden="1" x14ac:dyDescent="0.25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</row>
    <row r="86" spans="1:11" hidden="1" x14ac:dyDescent="0.25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</row>
    <row r="87" spans="1:11" hidden="1" x14ac:dyDescent="0.25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</row>
    <row r="88" spans="1:11" hidden="1" x14ac:dyDescent="0.2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</row>
    <row r="89" spans="1:11" hidden="1" x14ac:dyDescent="0.25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</row>
    <row r="90" spans="1:11" hidden="1" x14ac:dyDescent="0.25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</row>
    <row r="91" spans="1:11" hidden="1" x14ac:dyDescent="0.2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</row>
    <row r="92" spans="1:11" hidden="1" x14ac:dyDescent="0.25">
      <c r="A92"/>
      <c r="B92"/>
      <c r="C92"/>
      <c r="D92"/>
      <c r="E92"/>
      <c r="F92"/>
      <c r="G92"/>
      <c r="H92"/>
      <c r="I92"/>
      <c r="J92"/>
      <c r="K92"/>
    </row>
    <row r="93" spans="1:11" hidden="1" x14ac:dyDescent="0.25">
      <c r="A93"/>
      <c r="B93"/>
      <c r="C93"/>
      <c r="D93"/>
      <c r="E93"/>
      <c r="F93"/>
      <c r="G93"/>
      <c r="H93"/>
      <c r="I93"/>
      <c r="J93"/>
      <c r="K93"/>
    </row>
    <row r="94" spans="1:11" hidden="1" x14ac:dyDescent="0.25">
      <c r="A94"/>
      <c r="B94"/>
      <c r="C94"/>
      <c r="D94"/>
      <c r="E94"/>
      <c r="F94"/>
      <c r="G94"/>
      <c r="H94"/>
      <c r="I94"/>
      <c r="J94"/>
      <c r="K94"/>
    </row>
    <row r="95" spans="1:11" hidden="1" x14ac:dyDescent="0.25">
      <c r="A95"/>
      <c r="B95"/>
      <c r="C95"/>
      <c r="D95"/>
      <c r="E95"/>
      <c r="F95"/>
      <c r="G95"/>
      <c r="H95"/>
      <c r="I95"/>
      <c r="J95"/>
      <c r="K95"/>
    </row>
    <row r="96" spans="1:11" hidden="1" x14ac:dyDescent="0.25">
      <c r="A96"/>
      <c r="B96"/>
      <c r="C96"/>
      <c r="D96"/>
      <c r="E96"/>
      <c r="F96"/>
      <c r="G96"/>
      <c r="H96"/>
      <c r="I96"/>
      <c r="J96"/>
      <c r="K96"/>
    </row>
    <row r="97" customFormat="1" hidden="1" x14ac:dyDescent="0.25"/>
    <row r="98" customFormat="1" hidden="1" x14ac:dyDescent="0.25"/>
    <row r="99" customFormat="1" hidden="1" x14ac:dyDescent="0.25"/>
    <row r="100" customFormat="1" hidden="1" x14ac:dyDescent="0.25"/>
    <row r="101" customFormat="1" hidden="1" x14ac:dyDescent="0.25"/>
    <row r="102" customFormat="1" hidden="1" x14ac:dyDescent="0.25"/>
    <row r="103" customFormat="1" hidden="1" x14ac:dyDescent="0.25"/>
    <row r="104" customFormat="1" hidden="1" x14ac:dyDescent="0.25"/>
    <row r="105" customFormat="1" hidden="1" x14ac:dyDescent="0.25"/>
    <row r="106" customFormat="1" hidden="1" x14ac:dyDescent="0.25"/>
    <row r="107" customFormat="1" hidden="1" x14ac:dyDescent="0.25"/>
    <row r="108" customFormat="1" hidden="1" x14ac:dyDescent="0.25"/>
    <row r="109" customFormat="1" hidden="1" x14ac:dyDescent="0.25"/>
    <row r="110" customFormat="1" hidden="1" x14ac:dyDescent="0.25"/>
    <row r="111" customFormat="1" hidden="1" x14ac:dyDescent="0.25"/>
    <row r="112" customFormat="1" hidden="1" x14ac:dyDescent="0.25"/>
    <row r="113" customFormat="1" hidden="1" x14ac:dyDescent="0.25"/>
    <row r="114" customFormat="1" hidden="1" x14ac:dyDescent="0.25"/>
    <row r="115" customFormat="1" hidden="1" x14ac:dyDescent="0.25"/>
    <row r="116" customFormat="1" hidden="1" x14ac:dyDescent="0.25"/>
    <row r="117" customFormat="1" hidden="1" x14ac:dyDescent="0.25"/>
    <row r="118" customFormat="1" hidden="1" x14ac:dyDescent="0.25"/>
    <row r="119" customFormat="1" hidden="1" x14ac:dyDescent="0.25"/>
    <row r="120" customFormat="1" hidden="1" x14ac:dyDescent="0.25"/>
    <row r="121" customFormat="1" hidden="1" x14ac:dyDescent="0.25"/>
    <row r="122" customFormat="1" hidden="1" x14ac:dyDescent="0.25"/>
    <row r="123" customFormat="1" hidden="1" x14ac:dyDescent="0.25"/>
    <row r="124" customFormat="1" hidden="1" x14ac:dyDescent="0.25"/>
    <row r="125" customFormat="1" hidden="1" x14ac:dyDescent="0.25"/>
    <row r="126" customFormat="1" hidden="1" x14ac:dyDescent="0.25"/>
    <row r="127" customFormat="1" hidden="1" x14ac:dyDescent="0.25"/>
    <row r="128" customFormat="1" hidden="1" x14ac:dyDescent="0.25"/>
    <row r="129" customFormat="1" hidden="1" x14ac:dyDescent="0.25"/>
    <row r="130" customFormat="1" hidden="1" x14ac:dyDescent="0.25"/>
    <row r="131" customFormat="1" hidden="1" x14ac:dyDescent="0.25"/>
    <row r="132" customFormat="1" hidden="1" x14ac:dyDescent="0.25"/>
    <row r="133" customFormat="1" hidden="1" x14ac:dyDescent="0.25"/>
    <row r="134" customFormat="1" hidden="1" x14ac:dyDescent="0.25"/>
    <row r="135" customFormat="1" hidden="1" x14ac:dyDescent="0.25"/>
    <row r="136" customFormat="1" hidden="1" x14ac:dyDescent="0.25"/>
    <row r="137" customFormat="1" hidden="1" x14ac:dyDescent="0.25"/>
    <row r="138" customFormat="1" hidden="1" x14ac:dyDescent="0.25"/>
    <row r="139" customFormat="1" hidden="1" x14ac:dyDescent="0.25"/>
    <row r="140" customFormat="1" hidden="1" x14ac:dyDescent="0.25"/>
    <row r="141" customFormat="1" hidden="1" x14ac:dyDescent="0.25"/>
    <row r="142" customFormat="1" hidden="1" x14ac:dyDescent="0.25"/>
    <row r="143" customFormat="1" hidden="1" x14ac:dyDescent="0.25"/>
    <row r="144" customFormat="1" hidden="1" x14ac:dyDescent="0.25"/>
    <row r="145" customFormat="1" hidden="1" x14ac:dyDescent="0.25"/>
    <row r="146" customFormat="1" hidden="1" x14ac:dyDescent="0.25"/>
    <row r="147" customFormat="1" hidden="1" x14ac:dyDescent="0.25"/>
    <row r="148" customFormat="1" hidden="1" x14ac:dyDescent="0.25"/>
    <row r="149" customFormat="1" hidden="1" x14ac:dyDescent="0.25"/>
    <row r="150" customFormat="1" hidden="1" x14ac:dyDescent="0.25"/>
    <row r="151" customFormat="1" hidden="1" x14ac:dyDescent="0.25"/>
    <row r="152" customFormat="1" hidden="1" x14ac:dyDescent="0.25"/>
    <row r="153" customFormat="1" hidden="1" x14ac:dyDescent="0.25"/>
    <row r="154" customFormat="1" hidden="1" x14ac:dyDescent="0.25"/>
    <row r="155" customFormat="1" hidden="1" x14ac:dyDescent="0.25"/>
    <row r="156" customFormat="1" hidden="1" x14ac:dyDescent="0.25"/>
    <row r="157" customFormat="1" hidden="1" x14ac:dyDescent="0.25"/>
    <row r="158" customFormat="1" hidden="1" x14ac:dyDescent="0.25"/>
    <row r="159" customFormat="1" hidden="1" x14ac:dyDescent="0.25"/>
    <row r="160" customFormat="1" hidden="1" x14ac:dyDescent="0.25"/>
    <row r="161" customFormat="1" hidden="1" x14ac:dyDescent="0.25"/>
    <row r="162" customFormat="1" hidden="1" x14ac:dyDescent="0.25"/>
    <row r="163" customFormat="1" hidden="1" x14ac:dyDescent="0.25"/>
    <row r="164" customFormat="1" hidden="1" x14ac:dyDescent="0.25"/>
    <row r="165" customFormat="1" hidden="1" x14ac:dyDescent="0.25"/>
    <row r="166" customFormat="1" hidden="1" x14ac:dyDescent="0.25"/>
    <row r="167" customFormat="1" hidden="1" x14ac:dyDescent="0.25"/>
    <row r="168" customFormat="1" hidden="1" x14ac:dyDescent="0.25"/>
    <row r="169" customFormat="1" hidden="1" x14ac:dyDescent="0.25"/>
    <row r="170" customFormat="1" hidden="1" x14ac:dyDescent="0.25"/>
    <row r="171" customFormat="1" hidden="1" x14ac:dyDescent="0.25"/>
    <row r="172" customFormat="1" hidden="1" x14ac:dyDescent="0.25"/>
    <row r="173" customFormat="1" hidden="1" x14ac:dyDescent="0.25"/>
    <row r="174" customFormat="1" hidden="1" x14ac:dyDescent="0.25"/>
    <row r="175" customFormat="1" hidden="1" x14ac:dyDescent="0.25"/>
    <row r="176" customFormat="1" hidden="1" x14ac:dyDescent="0.25"/>
    <row r="177" customFormat="1" hidden="1" x14ac:dyDescent="0.25"/>
    <row r="178" customFormat="1" hidden="1" x14ac:dyDescent="0.25"/>
    <row r="179" customFormat="1" hidden="1" x14ac:dyDescent="0.25"/>
    <row r="180" customFormat="1" hidden="1" x14ac:dyDescent="0.25"/>
    <row r="181" customFormat="1" hidden="1" x14ac:dyDescent="0.25"/>
    <row r="182" customFormat="1" hidden="1" x14ac:dyDescent="0.25"/>
    <row r="183" customFormat="1" hidden="1" x14ac:dyDescent="0.25"/>
    <row r="184" customFormat="1" hidden="1" x14ac:dyDescent="0.25"/>
    <row r="185" customFormat="1" hidden="1" x14ac:dyDescent="0.25"/>
    <row r="186" customFormat="1" hidden="1" x14ac:dyDescent="0.25"/>
    <row r="187" customFormat="1" hidden="1" x14ac:dyDescent="0.25"/>
    <row r="188" customFormat="1" hidden="1" x14ac:dyDescent="0.25"/>
    <row r="189" customFormat="1" hidden="1" x14ac:dyDescent="0.25"/>
    <row r="190" customFormat="1" hidden="1" x14ac:dyDescent="0.25"/>
    <row r="191" customFormat="1" hidden="1" x14ac:dyDescent="0.25"/>
    <row r="192" customFormat="1" hidden="1" x14ac:dyDescent="0.25"/>
    <row r="193" customFormat="1" hidden="1" x14ac:dyDescent="0.25"/>
    <row r="194" customFormat="1" hidden="1" x14ac:dyDescent="0.25"/>
    <row r="195" customFormat="1" hidden="1" x14ac:dyDescent="0.25"/>
    <row r="196" customFormat="1" hidden="1" x14ac:dyDescent="0.25"/>
    <row r="197" customFormat="1" hidden="1" x14ac:dyDescent="0.25"/>
    <row r="198" customFormat="1" hidden="1" x14ac:dyDescent="0.25"/>
    <row r="199" customFormat="1" hidden="1" x14ac:dyDescent="0.25"/>
    <row r="200" customFormat="1" hidden="1" x14ac:dyDescent="0.25"/>
    <row r="201" customFormat="1" hidden="1" x14ac:dyDescent="0.25"/>
    <row r="202" customFormat="1" hidden="1" x14ac:dyDescent="0.25"/>
    <row r="203" customFormat="1" hidden="1" x14ac:dyDescent="0.25"/>
    <row r="204" customFormat="1" hidden="1" x14ac:dyDescent="0.25"/>
    <row r="205" customFormat="1" hidden="1" x14ac:dyDescent="0.25"/>
    <row r="206" customFormat="1" hidden="1" x14ac:dyDescent="0.25"/>
    <row r="207" customFormat="1" hidden="1" x14ac:dyDescent="0.25"/>
    <row r="208" customFormat="1" hidden="1" x14ac:dyDescent="0.25"/>
    <row r="209" customFormat="1" hidden="1" x14ac:dyDescent="0.25"/>
    <row r="210" customFormat="1" hidden="1" x14ac:dyDescent="0.25"/>
    <row r="211" customFormat="1" hidden="1" x14ac:dyDescent="0.25"/>
    <row r="212" customFormat="1" hidden="1" x14ac:dyDescent="0.25"/>
    <row r="213" customFormat="1" hidden="1" x14ac:dyDescent="0.25"/>
    <row r="214" customFormat="1" hidden="1" x14ac:dyDescent="0.25"/>
    <row r="215" customFormat="1" hidden="1" x14ac:dyDescent="0.25"/>
    <row r="216" customFormat="1" hidden="1" x14ac:dyDescent="0.25"/>
    <row r="217" customFormat="1" hidden="1" x14ac:dyDescent="0.25"/>
    <row r="218" customFormat="1" hidden="1" x14ac:dyDescent="0.25"/>
    <row r="219" customFormat="1" hidden="1" x14ac:dyDescent="0.25"/>
    <row r="220" customFormat="1" hidden="1" x14ac:dyDescent="0.25"/>
    <row r="221" customFormat="1" hidden="1" x14ac:dyDescent="0.25"/>
    <row r="222" customFormat="1" hidden="1" x14ac:dyDescent="0.25"/>
    <row r="223" customFormat="1" hidden="1" x14ac:dyDescent="0.25"/>
    <row r="224" customFormat="1" hidden="1" x14ac:dyDescent="0.25"/>
    <row r="225" customFormat="1" hidden="1" x14ac:dyDescent="0.25"/>
    <row r="226" customFormat="1" hidden="1" x14ac:dyDescent="0.25"/>
    <row r="227" customFormat="1" hidden="1" x14ac:dyDescent="0.25"/>
    <row r="228" customFormat="1" hidden="1" x14ac:dyDescent="0.25"/>
    <row r="229" customFormat="1" hidden="1" x14ac:dyDescent="0.25"/>
    <row r="230" customFormat="1" hidden="1" x14ac:dyDescent="0.25"/>
    <row r="231" customFormat="1" hidden="1" x14ac:dyDescent="0.25"/>
    <row r="232" customFormat="1" hidden="1" x14ac:dyDescent="0.25"/>
    <row r="233" customFormat="1" hidden="1" x14ac:dyDescent="0.25"/>
    <row r="234" customFormat="1" hidden="1" x14ac:dyDescent="0.25"/>
    <row r="235" customFormat="1" hidden="1" x14ac:dyDescent="0.25"/>
    <row r="236" customFormat="1" hidden="1" x14ac:dyDescent="0.25"/>
    <row r="237" customFormat="1" hidden="1" x14ac:dyDescent="0.25"/>
    <row r="238" customFormat="1" hidden="1" x14ac:dyDescent="0.25"/>
    <row r="239" customFormat="1" hidden="1" x14ac:dyDescent="0.25"/>
    <row r="240" customFormat="1" hidden="1" x14ac:dyDescent="0.25"/>
    <row r="241" customFormat="1" hidden="1" x14ac:dyDescent="0.25"/>
    <row r="242" customFormat="1" hidden="1" x14ac:dyDescent="0.25"/>
    <row r="243" customFormat="1" hidden="1" x14ac:dyDescent="0.25"/>
    <row r="244" customFormat="1" hidden="1" x14ac:dyDescent="0.25"/>
    <row r="245" customFormat="1" hidden="1" x14ac:dyDescent="0.25"/>
    <row r="246" customFormat="1" hidden="1" x14ac:dyDescent="0.25"/>
    <row r="247" customFormat="1" hidden="1" x14ac:dyDescent="0.25"/>
    <row r="248" customFormat="1" hidden="1" x14ac:dyDescent="0.25"/>
    <row r="249" customFormat="1" hidden="1" x14ac:dyDescent="0.25"/>
    <row r="250" customFormat="1" hidden="1" x14ac:dyDescent="0.25"/>
    <row r="251" customFormat="1" hidden="1" x14ac:dyDescent="0.25"/>
    <row r="252" customFormat="1" hidden="1" x14ac:dyDescent="0.25"/>
    <row r="253" customFormat="1" hidden="1" x14ac:dyDescent="0.25"/>
    <row r="254" customFormat="1" hidden="1" x14ac:dyDescent="0.25"/>
    <row r="255" customFormat="1" hidden="1" x14ac:dyDescent="0.25"/>
    <row r="256" customFormat="1" hidden="1" x14ac:dyDescent="0.25"/>
    <row r="257" customFormat="1" hidden="1" x14ac:dyDescent="0.25"/>
    <row r="258" customFormat="1" hidden="1" x14ac:dyDescent="0.25"/>
    <row r="259" customFormat="1" hidden="1" x14ac:dyDescent="0.25"/>
    <row r="260" customFormat="1" hidden="1" x14ac:dyDescent="0.25"/>
    <row r="261" customFormat="1" hidden="1" x14ac:dyDescent="0.25"/>
    <row r="262" customFormat="1" hidden="1" x14ac:dyDescent="0.25"/>
    <row r="263" customFormat="1" hidden="1" x14ac:dyDescent="0.25"/>
    <row r="264" customFormat="1" hidden="1" x14ac:dyDescent="0.25"/>
    <row r="265" customFormat="1" hidden="1" x14ac:dyDescent="0.25"/>
    <row r="266" customFormat="1" hidden="1" x14ac:dyDescent="0.25"/>
    <row r="267" customFormat="1" hidden="1" x14ac:dyDescent="0.25"/>
    <row r="268" customFormat="1" hidden="1" x14ac:dyDescent="0.25"/>
    <row r="269" customFormat="1" hidden="1" x14ac:dyDescent="0.25"/>
    <row r="270" customFormat="1" hidden="1" x14ac:dyDescent="0.25"/>
    <row r="271" customFormat="1" hidden="1" x14ac:dyDescent="0.25"/>
    <row r="272" customFormat="1" hidden="1" x14ac:dyDescent="0.25"/>
    <row r="273" customFormat="1" hidden="1" x14ac:dyDescent="0.25"/>
    <row r="274" customFormat="1" hidden="1" x14ac:dyDescent="0.25"/>
    <row r="275" customFormat="1" hidden="1" x14ac:dyDescent="0.25"/>
    <row r="276" customFormat="1" hidden="1" x14ac:dyDescent="0.25"/>
    <row r="277" customFormat="1" hidden="1" x14ac:dyDescent="0.25"/>
    <row r="278" customFormat="1" hidden="1" x14ac:dyDescent="0.25"/>
    <row r="279" customFormat="1" hidden="1" x14ac:dyDescent="0.25"/>
    <row r="280" customFormat="1" hidden="1" x14ac:dyDescent="0.25"/>
    <row r="281" customFormat="1" hidden="1" x14ac:dyDescent="0.25"/>
    <row r="282" customFormat="1" hidden="1" x14ac:dyDescent="0.25"/>
    <row r="283" customFormat="1" hidden="1" x14ac:dyDescent="0.25"/>
    <row r="284" customFormat="1" hidden="1" x14ac:dyDescent="0.25"/>
    <row r="285" customFormat="1" hidden="1" x14ac:dyDescent="0.25"/>
    <row r="286" customFormat="1" hidden="1" x14ac:dyDescent="0.25"/>
    <row r="287" customFormat="1" hidden="1" x14ac:dyDescent="0.25"/>
    <row r="288" customFormat="1" hidden="1" x14ac:dyDescent="0.25"/>
    <row r="289" customFormat="1" hidden="1" x14ac:dyDescent="0.25"/>
    <row r="290" customFormat="1" hidden="1" x14ac:dyDescent="0.25"/>
    <row r="291" customFormat="1" hidden="1" x14ac:dyDescent="0.25"/>
    <row r="292" customFormat="1" hidden="1" x14ac:dyDescent="0.25"/>
    <row r="293" customFormat="1" hidden="1" x14ac:dyDescent="0.25"/>
    <row r="294" customFormat="1" hidden="1" x14ac:dyDescent="0.25"/>
    <row r="295" customFormat="1" hidden="1" x14ac:dyDescent="0.25"/>
    <row r="296" customFormat="1" hidden="1" x14ac:dyDescent="0.25"/>
    <row r="297" customFormat="1" hidden="1" x14ac:dyDescent="0.25"/>
    <row r="298" customFormat="1" hidden="1" x14ac:dyDescent="0.25"/>
    <row r="299" customFormat="1" hidden="1" x14ac:dyDescent="0.25"/>
    <row r="300" customFormat="1" hidden="1" x14ac:dyDescent="0.25"/>
    <row r="301" customFormat="1" hidden="1" x14ac:dyDescent="0.25"/>
    <row r="302" customFormat="1" hidden="1" x14ac:dyDescent="0.25"/>
    <row r="303" customFormat="1" hidden="1" x14ac:dyDescent="0.25"/>
    <row r="304" customFormat="1" hidden="1" x14ac:dyDescent="0.25"/>
    <row r="305" customFormat="1" hidden="1" x14ac:dyDescent="0.25"/>
    <row r="306" customFormat="1" hidden="1" x14ac:dyDescent="0.25"/>
    <row r="307" customFormat="1" hidden="1" x14ac:dyDescent="0.25"/>
    <row r="308" customFormat="1" hidden="1" x14ac:dyDescent="0.25"/>
    <row r="309" customFormat="1" hidden="1" x14ac:dyDescent="0.25"/>
    <row r="310" customFormat="1" hidden="1" x14ac:dyDescent="0.25"/>
    <row r="311" customFormat="1" hidden="1" x14ac:dyDescent="0.25"/>
    <row r="312" customFormat="1" hidden="1" x14ac:dyDescent="0.25"/>
    <row r="313" customFormat="1" hidden="1" x14ac:dyDescent="0.25"/>
    <row r="314" customFormat="1" hidden="1" x14ac:dyDescent="0.25"/>
    <row r="315" customFormat="1" hidden="1" x14ac:dyDescent="0.25"/>
    <row r="316" customFormat="1" hidden="1" x14ac:dyDescent="0.25"/>
    <row r="317" customFormat="1" hidden="1" x14ac:dyDescent="0.25"/>
    <row r="318" customFormat="1" hidden="1" x14ac:dyDescent="0.25"/>
    <row r="319" customFormat="1" hidden="1" x14ac:dyDescent="0.25"/>
    <row r="320" customFormat="1" hidden="1" x14ac:dyDescent="0.25"/>
    <row r="321" customFormat="1" hidden="1" x14ac:dyDescent="0.25"/>
    <row r="322" customFormat="1" hidden="1" x14ac:dyDescent="0.25"/>
    <row r="323" customFormat="1" hidden="1" x14ac:dyDescent="0.25"/>
    <row r="324" customFormat="1" hidden="1" x14ac:dyDescent="0.25"/>
    <row r="325" customFormat="1" hidden="1" x14ac:dyDescent="0.25"/>
    <row r="326" customFormat="1" hidden="1" x14ac:dyDescent="0.25"/>
    <row r="327" customFormat="1" hidden="1" x14ac:dyDescent="0.25"/>
    <row r="328" customFormat="1" hidden="1" x14ac:dyDescent="0.25"/>
    <row r="329" customFormat="1" hidden="1" x14ac:dyDescent="0.25"/>
    <row r="330" customFormat="1" hidden="1" x14ac:dyDescent="0.25"/>
    <row r="331" customFormat="1" hidden="1" x14ac:dyDescent="0.25"/>
    <row r="332" customFormat="1" hidden="1" x14ac:dyDescent="0.25"/>
    <row r="333" customFormat="1" hidden="1" x14ac:dyDescent="0.25"/>
    <row r="334" customFormat="1" hidden="1" x14ac:dyDescent="0.25"/>
    <row r="335" customFormat="1" hidden="1" x14ac:dyDescent="0.25"/>
    <row r="336" customFormat="1" hidden="1" x14ac:dyDescent="0.25"/>
    <row r="337" customFormat="1" hidden="1" x14ac:dyDescent="0.25"/>
    <row r="338" customFormat="1" hidden="1" x14ac:dyDescent="0.25"/>
    <row r="339" customFormat="1" hidden="1" x14ac:dyDescent="0.25"/>
    <row r="340" customFormat="1" hidden="1" x14ac:dyDescent="0.25"/>
    <row r="341" customFormat="1" hidden="1" x14ac:dyDescent="0.25"/>
    <row r="342" customFormat="1" hidden="1" x14ac:dyDescent="0.25"/>
    <row r="343" customFormat="1" hidden="1" x14ac:dyDescent="0.25"/>
    <row r="344" customFormat="1" hidden="1" x14ac:dyDescent="0.25"/>
    <row r="345" customFormat="1" hidden="1" x14ac:dyDescent="0.25"/>
    <row r="346" customFormat="1" hidden="1" x14ac:dyDescent="0.25"/>
    <row r="347" customFormat="1" hidden="1" x14ac:dyDescent="0.25"/>
    <row r="348" customFormat="1" hidden="1" x14ac:dyDescent="0.25"/>
    <row r="349" customFormat="1" hidden="1" x14ac:dyDescent="0.25"/>
    <row r="350" customFormat="1" hidden="1" x14ac:dyDescent="0.25"/>
    <row r="351" customFormat="1" hidden="1" x14ac:dyDescent="0.25"/>
    <row r="352" customFormat="1" hidden="1" x14ac:dyDescent="0.25"/>
    <row r="353" customFormat="1" hidden="1" x14ac:dyDescent="0.25"/>
    <row r="354" customFormat="1" hidden="1" x14ac:dyDescent="0.25"/>
    <row r="355" customFormat="1" hidden="1" x14ac:dyDescent="0.25"/>
    <row r="356" customFormat="1" hidden="1" x14ac:dyDescent="0.25"/>
    <row r="357" customFormat="1" hidden="1" x14ac:dyDescent="0.25"/>
    <row r="358" customFormat="1" hidden="1" x14ac:dyDescent="0.25"/>
    <row r="359" customFormat="1" hidden="1" x14ac:dyDescent="0.25"/>
    <row r="360" customFormat="1" hidden="1" x14ac:dyDescent="0.25"/>
    <row r="361" customFormat="1" hidden="1" x14ac:dyDescent="0.25"/>
    <row r="362" customFormat="1" hidden="1" x14ac:dyDescent="0.25"/>
    <row r="363" customFormat="1" hidden="1" x14ac:dyDescent="0.25"/>
    <row r="364" customFormat="1" hidden="1" x14ac:dyDescent="0.25"/>
    <row r="365" customFormat="1" hidden="1" x14ac:dyDescent="0.25"/>
    <row r="366" customFormat="1" hidden="1" x14ac:dyDescent="0.25"/>
    <row r="367" customFormat="1" hidden="1" x14ac:dyDescent="0.25"/>
    <row r="368" customFormat="1" hidden="1" x14ac:dyDescent="0.25"/>
    <row r="369" customFormat="1" hidden="1" x14ac:dyDescent="0.25"/>
    <row r="370" customFormat="1" hidden="1" x14ac:dyDescent="0.25"/>
    <row r="371" customFormat="1" hidden="1" x14ac:dyDescent="0.25"/>
    <row r="372" customFormat="1" hidden="1" x14ac:dyDescent="0.25"/>
    <row r="373" customFormat="1" hidden="1" x14ac:dyDescent="0.25"/>
    <row r="374" customFormat="1" hidden="1" x14ac:dyDescent="0.25"/>
    <row r="375" customFormat="1" hidden="1" x14ac:dyDescent="0.25"/>
    <row r="376" customFormat="1" hidden="1" x14ac:dyDescent="0.25"/>
    <row r="377" customFormat="1" hidden="1" x14ac:dyDescent="0.25"/>
    <row r="378" customFormat="1" hidden="1" x14ac:dyDescent="0.25"/>
    <row r="379" customFormat="1" hidden="1" x14ac:dyDescent="0.25"/>
    <row r="380" customFormat="1" hidden="1" x14ac:dyDescent="0.25"/>
    <row r="381" customFormat="1" hidden="1" x14ac:dyDescent="0.25"/>
    <row r="382" customFormat="1" hidden="1" x14ac:dyDescent="0.25"/>
    <row r="383" customFormat="1" hidden="1" x14ac:dyDescent="0.25"/>
    <row r="384" customFormat="1" hidden="1" x14ac:dyDescent="0.25"/>
    <row r="385" customFormat="1" hidden="1" x14ac:dyDescent="0.25"/>
    <row r="386" customFormat="1" hidden="1" x14ac:dyDescent="0.25"/>
    <row r="387" customFormat="1" hidden="1" x14ac:dyDescent="0.25"/>
    <row r="388" customFormat="1" hidden="1" x14ac:dyDescent="0.25"/>
    <row r="389" customFormat="1" hidden="1" x14ac:dyDescent="0.25"/>
    <row r="390" customFormat="1" hidden="1" x14ac:dyDescent="0.25"/>
    <row r="391" customFormat="1" hidden="1" x14ac:dyDescent="0.25"/>
    <row r="392" customFormat="1" hidden="1" x14ac:dyDescent="0.25"/>
    <row r="393" customFormat="1" hidden="1" x14ac:dyDescent="0.25"/>
    <row r="394" customFormat="1" hidden="1" x14ac:dyDescent="0.25"/>
    <row r="395" customFormat="1" hidden="1" x14ac:dyDescent="0.25"/>
    <row r="396" customFormat="1" hidden="1" x14ac:dyDescent="0.25"/>
    <row r="397" customFormat="1" hidden="1" x14ac:dyDescent="0.25"/>
    <row r="398" customFormat="1" hidden="1" x14ac:dyDescent="0.25"/>
    <row r="399" customFormat="1" hidden="1" x14ac:dyDescent="0.25"/>
    <row r="400" customFormat="1" hidden="1" x14ac:dyDescent="0.25"/>
    <row r="401" customFormat="1" hidden="1" x14ac:dyDescent="0.25"/>
    <row r="402" customFormat="1" hidden="1" x14ac:dyDescent="0.25"/>
    <row r="403" customFormat="1" hidden="1" x14ac:dyDescent="0.25"/>
    <row r="404" customFormat="1" hidden="1" x14ac:dyDescent="0.25"/>
    <row r="405" customFormat="1" hidden="1" x14ac:dyDescent="0.25"/>
    <row r="406" customFormat="1" hidden="1" x14ac:dyDescent="0.25"/>
    <row r="407" customFormat="1" hidden="1" x14ac:dyDescent="0.25"/>
    <row r="408" customFormat="1" hidden="1" x14ac:dyDescent="0.25"/>
    <row r="409" customFormat="1" hidden="1" x14ac:dyDescent="0.25"/>
    <row r="410" customFormat="1" hidden="1" x14ac:dyDescent="0.25"/>
    <row r="411" customFormat="1" hidden="1" x14ac:dyDescent="0.25"/>
    <row r="412" customFormat="1" hidden="1" x14ac:dyDescent="0.25"/>
    <row r="413" customFormat="1" hidden="1" x14ac:dyDescent="0.25"/>
    <row r="414" customFormat="1" hidden="1" x14ac:dyDescent="0.25"/>
    <row r="415" customFormat="1" hidden="1" x14ac:dyDescent="0.25"/>
    <row r="416" customFormat="1" hidden="1" x14ac:dyDescent="0.25"/>
    <row r="417" customFormat="1" hidden="1" x14ac:dyDescent="0.25"/>
    <row r="418" customFormat="1" hidden="1" x14ac:dyDescent="0.25"/>
    <row r="419" customFormat="1" hidden="1" x14ac:dyDescent="0.25"/>
    <row r="420" customFormat="1" hidden="1" x14ac:dyDescent="0.25"/>
    <row r="421" customFormat="1" hidden="1" x14ac:dyDescent="0.25"/>
    <row r="422" customFormat="1" hidden="1" x14ac:dyDescent="0.25"/>
    <row r="423" customFormat="1" hidden="1" x14ac:dyDescent="0.25"/>
    <row r="424" customFormat="1" hidden="1" x14ac:dyDescent="0.25"/>
    <row r="425" customFormat="1" hidden="1" x14ac:dyDescent="0.25"/>
    <row r="426" customFormat="1" hidden="1" x14ac:dyDescent="0.25"/>
    <row r="427" customFormat="1" hidden="1" x14ac:dyDescent="0.25"/>
    <row r="428" customFormat="1" hidden="1" x14ac:dyDescent="0.25"/>
    <row r="429" customFormat="1" hidden="1" x14ac:dyDescent="0.25"/>
    <row r="430" customFormat="1" hidden="1" x14ac:dyDescent="0.25"/>
    <row r="431" customFormat="1" hidden="1" x14ac:dyDescent="0.25"/>
    <row r="432" customFormat="1" hidden="1" x14ac:dyDescent="0.25"/>
    <row r="433" customFormat="1" hidden="1" x14ac:dyDescent="0.25"/>
    <row r="434" customFormat="1" hidden="1" x14ac:dyDescent="0.25"/>
    <row r="435" customFormat="1" hidden="1" x14ac:dyDescent="0.25"/>
    <row r="436" customFormat="1" hidden="1" x14ac:dyDescent="0.25"/>
    <row r="437" customFormat="1" hidden="1" x14ac:dyDescent="0.25"/>
    <row r="438" customFormat="1" hidden="1" x14ac:dyDescent="0.25"/>
    <row r="439" customFormat="1" hidden="1" x14ac:dyDescent="0.25"/>
    <row r="440" customFormat="1" hidden="1" x14ac:dyDescent="0.25"/>
    <row r="441" customFormat="1" hidden="1" x14ac:dyDescent="0.25"/>
    <row r="442" customFormat="1" hidden="1" x14ac:dyDescent="0.25"/>
    <row r="443" customFormat="1" hidden="1" x14ac:dyDescent="0.25"/>
    <row r="444" customFormat="1" hidden="1" x14ac:dyDescent="0.25"/>
    <row r="445" customFormat="1" hidden="1" x14ac:dyDescent="0.25"/>
    <row r="446" customFormat="1" hidden="1" x14ac:dyDescent="0.25"/>
    <row r="447" customFormat="1" hidden="1" x14ac:dyDescent="0.25"/>
    <row r="448" customFormat="1" hidden="1" x14ac:dyDescent="0.25"/>
    <row r="449" customFormat="1" hidden="1" x14ac:dyDescent="0.25"/>
    <row r="450" customFormat="1" hidden="1" x14ac:dyDescent="0.25"/>
    <row r="451" customFormat="1" hidden="1" x14ac:dyDescent="0.25"/>
    <row r="452" customFormat="1" hidden="1" x14ac:dyDescent="0.25"/>
    <row r="453" customFormat="1" hidden="1" x14ac:dyDescent="0.25"/>
    <row r="454" customFormat="1" hidden="1" x14ac:dyDescent="0.25"/>
    <row r="455" customFormat="1" hidden="1" x14ac:dyDescent="0.25"/>
    <row r="456" customFormat="1" hidden="1" x14ac:dyDescent="0.25"/>
    <row r="457" customFormat="1" hidden="1" x14ac:dyDescent="0.25"/>
    <row r="458" customFormat="1" hidden="1" x14ac:dyDescent="0.25"/>
    <row r="459" customFormat="1" hidden="1" x14ac:dyDescent="0.25"/>
    <row r="460" customFormat="1" hidden="1" x14ac:dyDescent="0.25"/>
    <row r="461" customFormat="1" hidden="1" x14ac:dyDescent="0.25"/>
    <row r="462" customFormat="1" hidden="1" x14ac:dyDescent="0.25"/>
    <row r="463" customFormat="1" hidden="1" x14ac:dyDescent="0.25"/>
    <row r="464" customFormat="1" hidden="1" x14ac:dyDescent="0.25"/>
    <row r="465" customFormat="1" hidden="1" x14ac:dyDescent="0.25"/>
    <row r="466" customFormat="1" hidden="1" x14ac:dyDescent="0.25"/>
    <row r="467" customFormat="1" hidden="1" x14ac:dyDescent="0.25"/>
    <row r="468" customFormat="1" hidden="1" x14ac:dyDescent="0.25"/>
    <row r="469" customFormat="1" hidden="1" x14ac:dyDescent="0.25"/>
    <row r="470" customFormat="1" hidden="1" x14ac:dyDescent="0.25"/>
    <row r="471" customFormat="1" hidden="1" x14ac:dyDescent="0.25"/>
    <row r="472" customFormat="1" hidden="1" x14ac:dyDescent="0.25"/>
    <row r="473" customFormat="1" hidden="1" x14ac:dyDescent="0.25"/>
    <row r="474" customFormat="1" hidden="1" x14ac:dyDescent="0.25"/>
    <row r="475" customFormat="1" hidden="1" x14ac:dyDescent="0.25"/>
    <row r="476" customFormat="1" hidden="1" x14ac:dyDescent="0.25"/>
    <row r="477" customFormat="1" hidden="1" x14ac:dyDescent="0.25"/>
    <row r="478" customFormat="1" hidden="1" x14ac:dyDescent="0.25"/>
    <row r="479" customFormat="1" hidden="1" x14ac:dyDescent="0.25"/>
    <row r="480" customFormat="1" hidden="1" x14ac:dyDescent="0.25"/>
    <row r="481" customFormat="1" hidden="1" x14ac:dyDescent="0.25"/>
    <row r="482" customFormat="1" hidden="1" x14ac:dyDescent="0.25"/>
    <row r="483" customFormat="1" hidden="1" x14ac:dyDescent="0.25"/>
    <row r="484" customFormat="1" hidden="1" x14ac:dyDescent="0.25"/>
    <row r="485" customFormat="1" hidden="1" x14ac:dyDescent="0.25"/>
    <row r="486" customFormat="1" hidden="1" x14ac:dyDescent="0.25"/>
    <row r="487" customFormat="1" hidden="1" x14ac:dyDescent="0.25"/>
    <row r="488" customFormat="1" hidden="1" x14ac:dyDescent="0.25"/>
    <row r="489" customFormat="1" hidden="1" x14ac:dyDescent="0.25"/>
    <row r="490" customFormat="1" hidden="1" x14ac:dyDescent="0.25"/>
    <row r="491" customFormat="1" hidden="1" x14ac:dyDescent="0.25"/>
    <row r="492" customFormat="1" hidden="1" x14ac:dyDescent="0.25"/>
    <row r="493" customFormat="1" hidden="1" x14ac:dyDescent="0.25"/>
    <row r="494" customFormat="1" hidden="1" x14ac:dyDescent="0.25"/>
    <row r="495" customFormat="1" hidden="1" x14ac:dyDescent="0.25"/>
    <row r="496" customFormat="1" hidden="1" x14ac:dyDescent="0.25"/>
    <row r="497" customFormat="1" hidden="1" x14ac:dyDescent="0.25"/>
    <row r="498" customFormat="1" hidden="1" x14ac:dyDescent="0.25"/>
    <row r="499" customFormat="1" hidden="1" x14ac:dyDescent="0.25"/>
    <row r="500" customFormat="1" hidden="1" x14ac:dyDescent="0.25"/>
    <row r="501" customFormat="1" hidden="1" x14ac:dyDescent="0.25"/>
    <row r="502" customFormat="1" hidden="1" x14ac:dyDescent="0.25"/>
    <row r="503" customFormat="1" hidden="1" x14ac:dyDescent="0.25"/>
    <row r="504" customFormat="1" hidden="1" x14ac:dyDescent="0.25"/>
    <row r="505" customFormat="1" hidden="1" x14ac:dyDescent="0.25"/>
    <row r="506" customFormat="1" hidden="1" x14ac:dyDescent="0.25"/>
    <row r="507" customFormat="1" hidden="1" x14ac:dyDescent="0.25"/>
    <row r="508" customFormat="1" hidden="1" x14ac:dyDescent="0.25"/>
    <row r="509" customFormat="1" hidden="1" x14ac:dyDescent="0.25"/>
    <row r="510" customFormat="1" hidden="1" x14ac:dyDescent="0.25"/>
    <row r="511" customFormat="1" hidden="1" x14ac:dyDescent="0.25"/>
    <row r="512" customFormat="1" hidden="1" x14ac:dyDescent="0.25"/>
    <row r="513" customFormat="1" hidden="1" x14ac:dyDescent="0.25"/>
    <row r="514" customFormat="1" hidden="1" x14ac:dyDescent="0.25"/>
    <row r="515" customFormat="1" hidden="1" x14ac:dyDescent="0.25"/>
    <row r="516" customFormat="1" hidden="1" x14ac:dyDescent="0.25"/>
    <row r="517" customFormat="1" hidden="1" x14ac:dyDescent="0.25"/>
    <row r="518" customFormat="1" hidden="1" x14ac:dyDescent="0.25"/>
    <row r="519" customFormat="1" hidden="1" x14ac:dyDescent="0.25"/>
    <row r="520" customFormat="1" hidden="1" x14ac:dyDescent="0.25"/>
    <row r="521" customFormat="1" hidden="1" x14ac:dyDescent="0.25"/>
    <row r="522" customFormat="1" hidden="1" x14ac:dyDescent="0.25"/>
    <row r="523" customFormat="1" hidden="1" x14ac:dyDescent="0.25"/>
    <row r="524" customFormat="1" hidden="1" x14ac:dyDescent="0.25"/>
    <row r="525" customFormat="1" hidden="1" x14ac:dyDescent="0.25"/>
    <row r="526" customFormat="1" hidden="1" x14ac:dyDescent="0.25"/>
    <row r="527" customFormat="1" hidden="1" x14ac:dyDescent="0.25"/>
    <row r="528" customFormat="1" hidden="1" x14ac:dyDescent="0.25"/>
    <row r="529" customFormat="1" hidden="1" x14ac:dyDescent="0.25"/>
    <row r="530" customFormat="1" hidden="1" x14ac:dyDescent="0.25"/>
    <row r="531" customFormat="1" hidden="1" x14ac:dyDescent="0.25"/>
    <row r="532" customFormat="1" hidden="1" x14ac:dyDescent="0.25"/>
    <row r="533" customFormat="1" hidden="1" x14ac:dyDescent="0.25"/>
    <row r="534" customFormat="1" hidden="1" x14ac:dyDescent="0.25"/>
    <row r="535" customFormat="1" hidden="1" x14ac:dyDescent="0.25"/>
    <row r="536" customFormat="1" hidden="1" x14ac:dyDescent="0.25"/>
    <row r="537" customFormat="1" hidden="1" x14ac:dyDescent="0.25"/>
    <row r="538" customFormat="1" hidden="1" x14ac:dyDescent="0.25"/>
    <row r="539" customFormat="1" hidden="1" x14ac:dyDescent="0.25"/>
    <row r="540" customFormat="1" hidden="1" x14ac:dyDescent="0.25"/>
    <row r="541" customFormat="1" hidden="1" x14ac:dyDescent="0.25"/>
    <row r="542" customFormat="1" hidden="1" x14ac:dyDescent="0.25"/>
    <row r="543" customFormat="1" hidden="1" x14ac:dyDescent="0.25"/>
    <row r="544" customFormat="1" hidden="1" x14ac:dyDescent="0.25"/>
    <row r="545" customFormat="1" hidden="1" x14ac:dyDescent="0.25"/>
    <row r="546" customFormat="1" hidden="1" x14ac:dyDescent="0.25"/>
    <row r="547" customFormat="1" hidden="1" x14ac:dyDescent="0.25"/>
    <row r="548" customFormat="1" hidden="1" x14ac:dyDescent="0.25"/>
    <row r="549" customFormat="1" hidden="1" x14ac:dyDescent="0.25"/>
    <row r="550" customFormat="1" hidden="1" x14ac:dyDescent="0.25"/>
    <row r="551" customFormat="1" hidden="1" x14ac:dyDescent="0.25"/>
    <row r="552" customFormat="1" hidden="1" x14ac:dyDescent="0.25"/>
    <row r="553" customFormat="1" hidden="1" x14ac:dyDescent="0.25"/>
    <row r="554" customFormat="1" hidden="1" x14ac:dyDescent="0.25"/>
    <row r="555" customFormat="1" hidden="1" x14ac:dyDescent="0.25"/>
    <row r="556" customFormat="1" hidden="1" x14ac:dyDescent="0.25"/>
    <row r="557" customFormat="1" hidden="1" x14ac:dyDescent="0.25"/>
    <row r="558" customFormat="1" hidden="1" x14ac:dyDescent="0.25"/>
    <row r="559" customFormat="1" hidden="1" x14ac:dyDescent="0.25"/>
    <row r="560" customFormat="1" hidden="1" x14ac:dyDescent="0.25"/>
    <row r="561" customFormat="1" hidden="1" x14ac:dyDescent="0.25"/>
    <row r="562" customFormat="1" hidden="1" x14ac:dyDescent="0.25"/>
    <row r="563" customFormat="1" hidden="1" x14ac:dyDescent="0.25"/>
    <row r="564" customFormat="1" hidden="1" x14ac:dyDescent="0.25"/>
    <row r="565" customFormat="1" hidden="1" x14ac:dyDescent="0.25"/>
    <row r="566" customFormat="1" hidden="1" x14ac:dyDescent="0.25"/>
    <row r="567" customFormat="1" hidden="1" x14ac:dyDescent="0.25"/>
    <row r="568" customFormat="1" hidden="1" x14ac:dyDescent="0.25"/>
    <row r="569" customFormat="1" hidden="1" x14ac:dyDescent="0.25"/>
    <row r="570" customFormat="1" hidden="1" x14ac:dyDescent="0.25"/>
    <row r="571" customFormat="1" hidden="1" x14ac:dyDescent="0.25"/>
    <row r="572" customFormat="1" hidden="1" x14ac:dyDescent="0.25"/>
    <row r="573" customFormat="1" hidden="1" x14ac:dyDescent="0.25"/>
    <row r="574" customFormat="1" hidden="1" x14ac:dyDescent="0.25"/>
    <row r="575" customFormat="1" hidden="1" x14ac:dyDescent="0.25"/>
    <row r="576" customFormat="1" hidden="1" x14ac:dyDescent="0.25"/>
    <row r="577" customFormat="1" hidden="1" x14ac:dyDescent="0.25"/>
    <row r="578" customFormat="1" hidden="1" x14ac:dyDescent="0.25"/>
    <row r="579" customFormat="1" hidden="1" x14ac:dyDescent="0.25"/>
    <row r="580" customFormat="1" hidden="1" x14ac:dyDescent="0.25"/>
    <row r="581" customFormat="1" hidden="1" x14ac:dyDescent="0.25"/>
    <row r="582" customFormat="1" hidden="1" x14ac:dyDescent="0.25"/>
    <row r="583" customFormat="1" hidden="1" x14ac:dyDescent="0.25"/>
    <row r="584" customFormat="1" hidden="1" x14ac:dyDescent="0.25"/>
    <row r="585" customFormat="1" hidden="1" x14ac:dyDescent="0.25"/>
    <row r="586" customFormat="1" hidden="1" x14ac:dyDescent="0.25"/>
    <row r="587" customFormat="1" hidden="1" x14ac:dyDescent="0.25"/>
    <row r="588" customFormat="1" hidden="1" x14ac:dyDescent="0.25"/>
    <row r="589" customFormat="1" hidden="1" x14ac:dyDescent="0.25"/>
    <row r="590" customFormat="1" hidden="1" x14ac:dyDescent="0.25"/>
    <row r="591" customFormat="1" hidden="1" x14ac:dyDescent="0.25"/>
    <row r="592" customFormat="1" hidden="1" x14ac:dyDescent="0.25"/>
    <row r="593" customFormat="1" hidden="1" x14ac:dyDescent="0.25"/>
    <row r="594" customFormat="1" hidden="1" x14ac:dyDescent="0.25"/>
    <row r="595" customFormat="1" hidden="1" x14ac:dyDescent="0.25"/>
    <row r="596" customFormat="1" hidden="1" x14ac:dyDescent="0.25"/>
    <row r="597" customFormat="1" hidden="1" x14ac:dyDescent="0.25"/>
    <row r="598" customFormat="1" hidden="1" x14ac:dyDescent="0.25"/>
    <row r="599" customFormat="1" hidden="1" x14ac:dyDescent="0.25"/>
    <row r="600" customFormat="1" hidden="1" x14ac:dyDescent="0.25"/>
    <row r="601" customFormat="1" hidden="1" x14ac:dyDescent="0.25"/>
    <row r="602" customFormat="1" hidden="1" x14ac:dyDescent="0.25"/>
    <row r="603" customFormat="1" hidden="1" x14ac:dyDescent="0.25"/>
    <row r="604" customFormat="1" hidden="1" x14ac:dyDescent="0.25"/>
    <row r="605" customFormat="1" hidden="1" x14ac:dyDescent="0.25"/>
    <row r="606" customFormat="1" hidden="1" x14ac:dyDescent="0.25"/>
    <row r="607" customFormat="1" hidden="1" x14ac:dyDescent="0.25"/>
    <row r="608" customFormat="1" hidden="1" x14ac:dyDescent="0.25"/>
    <row r="609" customFormat="1" hidden="1" x14ac:dyDescent="0.25"/>
    <row r="610" customFormat="1" hidden="1" x14ac:dyDescent="0.25"/>
    <row r="611" customFormat="1" hidden="1" x14ac:dyDescent="0.25"/>
    <row r="612" customFormat="1" hidden="1" x14ac:dyDescent="0.25"/>
    <row r="613" customFormat="1" hidden="1" x14ac:dyDescent="0.25"/>
    <row r="614" customFormat="1" hidden="1" x14ac:dyDescent="0.25"/>
    <row r="615" customFormat="1" hidden="1" x14ac:dyDescent="0.25"/>
    <row r="616" customFormat="1" hidden="1" x14ac:dyDescent="0.25"/>
    <row r="617" customFormat="1" hidden="1" x14ac:dyDescent="0.25"/>
    <row r="618" customFormat="1" hidden="1" x14ac:dyDescent="0.25"/>
    <row r="619" customFormat="1" hidden="1" x14ac:dyDescent="0.25"/>
    <row r="620" customFormat="1" hidden="1" x14ac:dyDescent="0.25"/>
    <row r="621" customFormat="1" hidden="1" x14ac:dyDescent="0.25"/>
    <row r="622" customFormat="1" hidden="1" x14ac:dyDescent="0.25"/>
    <row r="623" customFormat="1" hidden="1" x14ac:dyDescent="0.25"/>
    <row r="624" customFormat="1" hidden="1" x14ac:dyDescent="0.25"/>
    <row r="625" customFormat="1" hidden="1" x14ac:dyDescent="0.25"/>
    <row r="626" customFormat="1" hidden="1" x14ac:dyDescent="0.25"/>
    <row r="627" customFormat="1" hidden="1" x14ac:dyDescent="0.25"/>
    <row r="628" customFormat="1" hidden="1" x14ac:dyDescent="0.25"/>
    <row r="629" customFormat="1" hidden="1" x14ac:dyDescent="0.25"/>
    <row r="630" customFormat="1" hidden="1" x14ac:dyDescent="0.25"/>
    <row r="631" customFormat="1" hidden="1" x14ac:dyDescent="0.25"/>
    <row r="632" customFormat="1" hidden="1" x14ac:dyDescent="0.25"/>
    <row r="633" customFormat="1" hidden="1" x14ac:dyDescent="0.25"/>
    <row r="634" customFormat="1" hidden="1" x14ac:dyDescent="0.25"/>
    <row r="635" customFormat="1" hidden="1" x14ac:dyDescent="0.25"/>
    <row r="636" customFormat="1" hidden="1" x14ac:dyDescent="0.25"/>
    <row r="637" customFormat="1" hidden="1" x14ac:dyDescent="0.25"/>
    <row r="638" customFormat="1" hidden="1" x14ac:dyDescent="0.25"/>
    <row r="639" customFormat="1" hidden="1" x14ac:dyDescent="0.25"/>
    <row r="640" customFormat="1" hidden="1" x14ac:dyDescent="0.25"/>
    <row r="641" customFormat="1" hidden="1" x14ac:dyDescent="0.25"/>
    <row r="642" customFormat="1" hidden="1" x14ac:dyDescent="0.25"/>
    <row r="643" customFormat="1" hidden="1" x14ac:dyDescent="0.25"/>
    <row r="644" customFormat="1" hidden="1" x14ac:dyDescent="0.25"/>
    <row r="645" customFormat="1" hidden="1" x14ac:dyDescent="0.25"/>
    <row r="646" customFormat="1" hidden="1" x14ac:dyDescent="0.25"/>
    <row r="647" customFormat="1" hidden="1" x14ac:dyDescent="0.25"/>
    <row r="648" customFormat="1" hidden="1" x14ac:dyDescent="0.25"/>
    <row r="649" customFormat="1" hidden="1" x14ac:dyDescent="0.25"/>
    <row r="650" customFormat="1" hidden="1" x14ac:dyDescent="0.25"/>
    <row r="651" customFormat="1" hidden="1" x14ac:dyDescent="0.25"/>
    <row r="652" customFormat="1" hidden="1" x14ac:dyDescent="0.25"/>
    <row r="653" customFormat="1" hidden="1" x14ac:dyDescent="0.25"/>
    <row r="654" customFormat="1" hidden="1" x14ac:dyDescent="0.25"/>
    <row r="655" customFormat="1" hidden="1" x14ac:dyDescent="0.25"/>
    <row r="656" customFormat="1" hidden="1" x14ac:dyDescent="0.25"/>
    <row r="657" customFormat="1" hidden="1" x14ac:dyDescent="0.25"/>
    <row r="658" customFormat="1" hidden="1" x14ac:dyDescent="0.25"/>
    <row r="659" customFormat="1" hidden="1" x14ac:dyDescent="0.25"/>
    <row r="660" customFormat="1" hidden="1" x14ac:dyDescent="0.25"/>
    <row r="661" customFormat="1" hidden="1" x14ac:dyDescent="0.25"/>
    <row r="662" customFormat="1" hidden="1" x14ac:dyDescent="0.25"/>
  </sheetData>
  <pageMargins left="0.511811024" right="0.511811024" top="0.78740157499999996" bottom="0.78740157499999996" header="0.31496062000000002" footer="0.31496062000000002"/>
  <pageSetup paperSize="9" scale="94" fitToHeight="0" orientation="landscape" verticalDpi="0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Inicial</vt:lpstr>
      <vt:lpstr>Dados (Formulário)</vt:lpstr>
      <vt:lpstr>Resultados</vt:lpstr>
      <vt:lpstr>Métricas</vt:lpstr>
      <vt:lpstr>Métricas!Area_de_impressao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Gomes Bertini</dc:creator>
  <cp:lastModifiedBy>Rodrigo Gomes Bertini</cp:lastModifiedBy>
  <cp:lastPrinted>2024-05-10T19:11:15Z</cp:lastPrinted>
  <dcterms:created xsi:type="dcterms:W3CDTF">2024-05-08T22:09:51Z</dcterms:created>
  <dcterms:modified xsi:type="dcterms:W3CDTF">2024-08-17T13:58:57Z</dcterms:modified>
</cp:coreProperties>
</file>